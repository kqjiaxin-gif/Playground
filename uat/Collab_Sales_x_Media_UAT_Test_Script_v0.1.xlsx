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est cases" sheetId="2" state="visible" r:id="rId4"/>
    <sheet name="Defect log" sheetId="3" state="visible" r:id="rId5"/>
    <sheet name="Summary" sheetId="4" state="visible" r:id="rId6"/>
    <sheet name="Sign-off" sheetId="5" state="visible" r:id="rId7"/>
  </sheets>
  <definedNames>
    <definedName function="false" hidden="true" localSheetId="2" name="_xlnm._FilterDatabase" vbProcedure="false">'Defect log'!$A$1:$N$101</definedName>
    <definedName function="false" hidden="true" localSheetId="1" name="_xlnm._FilterDatabase" vbProcedure="false">'Test cases'!$A$1:$N$58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<sst xmlns="http://schemas.openxmlformats.org/spreadsheetml/2006/main" count="710" uniqueCount="491">
  <si>
    <t xml:space="preserve">Collab: Sales × Media – UAT test script</t>
  </si>
  <si>
    <t xml:space="preserve">Persona</t>
  </si>
  <si>
    <t xml:space="preserve">Agency media planner</t>
  </si>
  <si>
    <t xml:space="preserve">Environment</t>
  </si>
  <si>
    <t xml:space="preserve">Beta – https://collab-media-production-945a.up.railway.app/home</t>
  </si>
  <si>
    <t xml:space="preserve">Version</t>
  </si>
  <si>
    <t xml:space="preserve">v0.1 draft for stakeholder review</t>
  </si>
  <si>
    <t xml:space="preserve">Prepared by</t>
  </si>
  <si>
    <t xml:space="preserve">QA lead</t>
  </si>
  <si>
    <t xml:space="preserve">Date</t>
  </si>
  <si>
    <t xml:space="preserve">11 Oct 2026</t>
  </si>
  <si>
    <t xml:space="preserve">Scope</t>
  </si>
  <si>
    <t xml:space="preserve">Sign-in and Home; client brief intake; AI brief scoring; media plan builder; budget calculations; AI pitch generation; knowledge bank; review and approval; usability and non-functional checks; one end-to-end journey.</t>
  </si>
  <si>
    <t xml:space="preserve">Out of scope</t>
  </si>
  <si>
    <t xml:space="preserve">Collab: Influence, Studio and Content pillars; platform admin features; load and security penetration testing.</t>
  </si>
  <si>
    <t xml:space="preserve">Basis</t>
  </si>
  <si>
    <t xml:space="preserve">Test cases come from the Collabrium Mothership architecture spec and capability architecture (Media &amp; Campaign and Sales pillar capabilities). Before the test cycle starts, the QA lead must check each case against the beta screens in a dry run. Cases for features the beta does not have yet should be marked 'N/A – not in build'.</t>
  </si>
  <si>
    <t xml:space="preserve">Entry criteria</t>
  </si>
  <si>
    <t xml:space="preserve">Beta build deployed and stable; test accounts issued (media planner and approver); current rate card loaded; test client data seeded in the sandbox (no production data).</t>
  </si>
  <si>
    <t xml:space="preserve">Exit criteria</t>
  </si>
  <si>
    <t xml:space="preserve">100% of High-priority cases run; 0 open Critical or High defects; Medium defects have an agreed fix plan; business sign-off recorded on the Sign-off tab.</t>
  </si>
  <si>
    <t xml:space="preserve">How to use</t>
  </si>
  <si>
    <t xml:space="preserve">1. Work through the 'Test cases' tab in order (TC IDs are grouped by module).
2. Follow the steps and use the test data given.
3. Fill in the yellow columns only: Actual result, Status, Defect ID, Tester, Date tested and Comments.
4. Status options: Pass / Fail / Blocked / Not run / N/A.
5. For every Fail or Blocked case, log a defect on the 'Defect log' tab, then put its ID in the test case. Attach a screenshot.
6. The 'Summary' tab updates automatically.</t>
  </si>
  <si>
    <t xml:space="preserve">Example of a completed row</t>
  </si>
  <si>
    <t xml:space="preserve">Actual result: 'Impressions showed 2,000,000.'  Status: Pass.  Defect ID: (blank).  Tester: A. Tan.  Date tested: 20 Oct 2026.
Example of a Fail: Actual result: 'Total showed RM 249,999.98, 2 sen short.'  Status: Fail.  Defect ID: DEF-001.</t>
  </si>
  <si>
    <t xml:space="preserve">Severity guide</t>
  </si>
  <si>
    <t xml:space="preserve">Critical – blocks the planner's core work, causes data loss or wrong money figures.
High – a major feature is broken and there is no reasonable workaround.
Medium – a feature is impaired but a workaround exists.
Low – cosmetic or wording issue.</t>
  </si>
  <si>
    <t xml:space="preserve">TC ID</t>
  </si>
  <si>
    <t xml:space="preserve">Module</t>
  </si>
  <si>
    <t xml:space="preserve">Test scenario</t>
  </si>
  <si>
    <t xml:space="preserve">Priority</t>
  </si>
  <si>
    <t xml:space="preserve">Preconditions</t>
  </si>
  <si>
    <t xml:space="preserve">Test steps</t>
  </si>
  <si>
    <t xml:space="preserve">Test data</t>
  </si>
  <si>
    <t xml:space="preserve">Expected result</t>
  </si>
  <si>
    <t xml:space="preserve">Actual result</t>
  </si>
  <si>
    <t xml:space="preserve">Status</t>
  </si>
  <si>
    <t xml:space="preserve">Defect ID</t>
  </si>
  <si>
    <t xml:space="preserve">Tester</t>
  </si>
  <si>
    <t xml:space="preserve">Date tested</t>
  </si>
  <si>
    <t xml:space="preserve">Comments / planner feedback</t>
  </si>
  <si>
    <t xml:space="preserve">ACC-01</t>
  </si>
  <si>
    <t xml:space="preserve">01 Access &amp; Home</t>
  </si>
  <si>
    <t xml:space="preserve">Sign in with corporate SSO credentials</t>
  </si>
  <si>
    <t xml:space="preserve">High</t>
  </si>
  <si>
    <t xml:space="preserve">Tester has an active media planner account.</t>
  </si>
  <si>
    <t xml:space="preserve">1. Open the beta link in Chrome.
2. Click sign in.
3. Enter corporate credentials and complete MFA if prompted.</t>
  </si>
  <si>
    <t xml:space="preserve">Media planner test account</t>
  </si>
  <si>
    <t xml:space="preserve">Sign-in succeeds and the tester lands on Collab: Home. Their name and role show correctly.</t>
  </si>
  <si>
    <t xml:space="preserve">Not run</t>
  </si>
  <si>
    <t xml:space="preserve">ACC-02</t>
  </si>
  <si>
    <t xml:space="preserve">Home shows only the pillars a media planner can access</t>
  </si>
  <si>
    <t xml:space="preserve">Signed in as a media planner.</t>
  </si>
  <si>
    <t xml:space="preserve">1. Review the pillars and tiles on Home.
2. Compare them with the role matrix for a media planner.</t>
  </si>
  <si>
    <t xml:space="preserve">Role matrix from the product team</t>
  </si>
  <si>
    <t xml:space="preserve">Collab: Sales × Media is visible. Pillars the role does not grant (e.g. Studio admin and platform admin) are hidden, not just disabled.</t>
  </si>
  <si>
    <t xml:space="preserve">ACC-03</t>
  </si>
  <si>
    <t xml:space="preserve">Navigate from Home into Collab: Sales × Media</t>
  </si>
  <si>
    <t xml:space="preserve">Signed in.</t>
  </si>
  <si>
    <t xml:space="preserve">1. On Home, click Sales × Media.
2. Check the sidebar menu items.</t>
  </si>
  <si>
    <t xml:space="preserve">—</t>
  </si>
  <si>
    <t xml:space="preserve">The pillar opens without a second login. The sidebar lists media planning, brief intake, pitch generation and knowledge bank.</t>
  </si>
  <si>
    <t xml:space="preserve">ACC-04</t>
  </si>
  <si>
    <t xml:space="preserve">Block direct URL access to an unpermitted pillar</t>
  </si>
  <si>
    <t xml:space="preserve">1. Paste the URL of a pillar or admin page the role does not grant (ask the QA lead for it).
2. Press Enter.</t>
  </si>
  <si>
    <t xml:space="preserve">Admin or other pillar URL</t>
  </si>
  <si>
    <t xml:space="preserve">Access is denied with a clear message and a way back to Home. No data from that pillar is shown.</t>
  </si>
  <si>
    <t xml:space="preserve">ACC-05</t>
  </si>
  <si>
    <t xml:space="preserve">Invalid credentials are rejected</t>
  </si>
  <si>
    <t xml:space="preserve">Medium</t>
  </si>
  <si>
    <t xml:space="preserve">Signed out.</t>
  </si>
  <si>
    <t xml:space="preserve">1. Attempt to sign in with a wrong password.</t>
  </si>
  <si>
    <t xml:space="preserve">Wrong password</t>
  </si>
  <si>
    <t xml:space="preserve">Sign-in fails with a clear, non-technical error. No account details are revealed.</t>
  </si>
  <si>
    <t xml:space="preserve">ACC-06</t>
  </si>
  <si>
    <t xml:space="preserve">Sign out and session expiry</t>
  </si>
  <si>
    <t xml:space="preserve">1. Click sign out.
2. Press the browser Back button.
3. Sign in again, leave the tab idle past the session timeout, then click any link.</t>
  </si>
  <si>
    <t xml:space="preserve">Session timeout value from the product team</t>
  </si>
  <si>
    <t xml:space="preserve">After sign-out, Back does not reveal pages. After the timeout, the tester is asked to sign in again. Unsaved work is either kept or the tester is warned first.</t>
  </si>
  <si>
    <t xml:space="preserve">BRF-01</t>
  </si>
  <si>
    <t xml:space="preserve">02 Client brief intake</t>
  </si>
  <si>
    <t xml:space="preserve">Create a new client brief with all required fields</t>
  </si>
  <si>
    <t xml:space="preserve">Signed in to Sales × Media.</t>
  </si>
  <si>
    <t xml:space="preserve">1. Go to brief intake and click to create a new brief.
2. Fill every required field from the test data.
3. Save.</t>
  </si>
  <si>
    <t xml:space="preserve">Client: Kopi Kita Sdn Bhd (UAT test client)
Kopi Kita CNY 2027 awareness campaign; Objective: awareness + store visits; Budget RM 250,000; Flight 1 Dec 2026 – 31 Jan 2027; Audience: Adults 25–44, Klang Valley, coffee drinkers; KPIs: 10M impressions, 2M video views</t>
  </si>
  <si>
    <t xml:space="preserve">The brief is saved with status Draft. The planner is shown as owner. All values display exactly as entered.</t>
  </si>
  <si>
    <t xml:space="preserve">BRF-02</t>
  </si>
  <si>
    <t xml:space="preserve">Required-field validation on brief</t>
  </si>
  <si>
    <t xml:space="preserve">On the new brief form.</t>
  </si>
  <si>
    <t xml:space="preserve">1. Leave client name, budget and flight dates empty.
2. Try to save or submit.</t>
  </si>
  <si>
    <t xml:space="preserve">Blank required fields</t>
  </si>
  <si>
    <t xml:space="preserve">Saving or submitting is blocked. Each missing field is flagged inline with a clear message.</t>
  </si>
  <si>
    <t xml:space="preserve">BRF-03</t>
  </si>
  <si>
    <t xml:space="preserve">Invalid budget and date input</t>
  </si>
  <si>
    <t xml:space="preserve">1. Enter a budget of -5000, then 'abc'.
2. Enter an end date earlier than the start date.</t>
  </si>
  <si>
    <t xml:space="preserve">Budget: -5000 / abc; Flight 31 Jan 2027 – 1 Dec 2026</t>
  </si>
  <si>
    <t xml:space="preserve">Negative and non-numeric budgets are rejected. An end date before the start date is rejected. The error messages say how to fix the input.</t>
  </si>
  <si>
    <t xml:space="preserve">BRF-04</t>
  </si>
  <si>
    <t xml:space="preserve">Currency formatting in RM</t>
  </si>
  <si>
    <t xml:space="preserve">Brief saved.</t>
  </si>
  <si>
    <t xml:space="preserve">1. Enter budget 250000.
2. Save and view the brief.</t>
  </si>
  <si>
    <t xml:space="preserve">250000</t>
  </si>
  <si>
    <t xml:space="preserve">The budget displays as RM 250,000 (space after RM, comma thousands).</t>
  </si>
  <si>
    <t xml:space="preserve">BRF-05</t>
  </si>
  <si>
    <t xml:space="preserve">Attach a client brief document</t>
  </si>
  <si>
    <t xml:space="preserve">Brief in Draft.</t>
  </si>
  <si>
    <t xml:space="preserve">1. Upload the client's PDF brief and a PPTX reference deck.
2. Try to upload an unsupported file (e.g. .exe) and an oversized file.</t>
  </si>
  <si>
    <t xml:space="preserve">Sample PDF (≤10 MB), PPTX, .exe, a file larger than the upload limit</t>
  </si>
  <si>
    <t xml:space="preserve">PDF and PPTX upload and can be opened or downloaded. The unsupported and oversized files are rejected with a clear reason.</t>
  </si>
  <si>
    <t xml:space="preserve">BRF-06</t>
  </si>
  <si>
    <t xml:space="preserve">Edit a draft brief and view its history</t>
  </si>
  <si>
    <t xml:space="preserve">1. Change the budget to RM 300,000 and save.
2. Open version history, if available.</t>
  </si>
  <si>
    <t xml:space="preserve">RM 300,000</t>
  </si>
  <si>
    <t xml:space="preserve">The change is saved. The history shows the earlier value, who changed it and when.</t>
  </si>
  <si>
    <t xml:space="preserve">BRF-07</t>
  </si>
  <si>
    <t xml:space="preserve">Submit a brief</t>
  </si>
  <si>
    <t xml:space="preserve">A complete brief exists in Draft.</t>
  </si>
  <si>
    <t xml:space="preserve">1. Click submit.
2. Check the brief status and brief list.</t>
  </si>
  <si>
    <t xml:space="preserve">The status changes from Draft to Submitted (or In review). The brief appears in the list with the correct status, client and date.</t>
  </si>
  <si>
    <t xml:space="preserve">BRF-08</t>
  </si>
  <si>
    <t xml:space="preserve">Search and filter the brief list</t>
  </si>
  <si>
    <t xml:space="preserve">At least 3 briefs exist.</t>
  </si>
  <si>
    <t xml:space="preserve">1. Search by client name.
2. Filter by status.
3. Sort by date.</t>
  </si>
  <si>
    <t xml:space="preserve">'Kopi Kita'</t>
  </si>
  <si>
    <t xml:space="preserve">Only matching briefs show. Filters and sorting work and can be cleared. An empty result explains why and what to try next.</t>
  </si>
  <si>
    <t xml:space="preserve">SCR-01</t>
  </si>
  <si>
    <t xml:space="preserve">03 Brief scoring (AI)</t>
  </si>
  <si>
    <t xml:space="preserve">AI scores a complete brief</t>
  </si>
  <si>
    <t xml:space="preserve">A complete brief has been submitted.</t>
  </si>
  <si>
    <t xml:space="preserve">1. Trigger brief scoring (or open the score if it runs automatically).
2. Review the score and its reasoning.</t>
  </si>
  <si>
    <t xml:space="preserve">Kopi Kita brief</t>
  </si>
  <si>
    <t xml:space="preserve">A score is returned in a reasonable time and labelled as AI-assisted. It explains which criteria passed or failed.</t>
  </si>
  <si>
    <t xml:space="preserve">SCR-02</t>
  </si>
  <si>
    <t xml:space="preserve">Scoring flags a weak or incomplete brief</t>
  </si>
  <si>
    <t xml:space="preserve">Create a second brief with missing objective, KPIs and audience.</t>
  </si>
  <si>
    <t xml:space="preserve">1. Score the weak brief.
2. Compare it with the complete brief's score.</t>
  </si>
  <si>
    <t xml:space="preserve">Brief with budget only</t>
  </si>
  <si>
    <t xml:space="preserve">The weak brief scores lower. The score lists the specific gaps, e.g. no KPI and no audience.</t>
  </si>
  <si>
    <t xml:space="preserve">SCR-03</t>
  </si>
  <si>
    <t xml:space="preserve">Re-score after improving the brief</t>
  </si>
  <si>
    <t xml:space="preserve">Weak brief scored.</t>
  </si>
  <si>
    <t xml:space="preserve">1. Add the missing objective, KPIs and audience.
2. Re-score.</t>
  </si>
  <si>
    <t xml:space="preserve">Kopi Kita KPIs and audience</t>
  </si>
  <si>
    <t xml:space="preserve">The score updates to reflect the improvements. The previous score is kept or visible in history.</t>
  </si>
  <si>
    <t xml:space="preserve">SCR-04</t>
  </si>
  <si>
    <t xml:space="preserve">Media planner judges whether the scoring is sensible</t>
  </si>
  <si>
    <t xml:space="preserve">Three briefs of varying quality.</t>
  </si>
  <si>
    <t xml:space="preserve">1. Score each brief.
2. Rate each score from 1 to 5 for accuracy in the comments column.</t>
  </si>
  <si>
    <t xml:space="preserve">3 real-world style briefs (anonymised)</t>
  </si>
  <si>
    <t xml:space="preserve">The scores match the planner's professional judgement. Any score the planner disagrees with is logged with reasons.</t>
  </si>
  <si>
    <t xml:space="preserve">PLN-01</t>
  </si>
  <si>
    <t xml:space="preserve">04 Media plan builder</t>
  </si>
  <si>
    <t xml:space="preserve">Create a media plan from a brief</t>
  </si>
  <si>
    <t xml:space="preserve">Kopi Kita brief submitted.</t>
  </si>
  <si>
    <t xml:space="preserve">1. From the brief, click to create a media plan.
2. Check which fields are pre-filled.</t>
  </si>
  <si>
    <t xml:space="preserve">A new plan opens linked to the brief. The client, budget, flight dates and audience are carried over correctly.</t>
  </si>
  <si>
    <t xml:space="preserve">PLN-02</t>
  </si>
  <si>
    <t xml:space="preserve">Add channel and placement lines from the rate card</t>
  </si>
  <si>
    <t xml:space="preserve">Plan open.</t>
  </si>
  <si>
    <t xml:space="preserve">1. Add one line each for Display, Video (YouTube), OTT, Social (Meta), Audio and KOL.
2. Check that the rate (CPM or package rate) is pulled from the rate card.</t>
  </si>
  <si>
    <t xml:space="preserve">Current approved KULT rate card</t>
  </si>
  <si>
    <t xml:space="preserve">Each line saves with its channel, placement, buying type and rate. The rates match the current approved rate card exactly.</t>
  </si>
  <si>
    <t xml:space="preserve">PLN-03</t>
  </si>
  <si>
    <t xml:space="preserve">Set flighting dates per line</t>
  </si>
  <si>
    <t xml:space="preserve">Plan has lines.</t>
  </si>
  <si>
    <t xml:space="preserve">1. Set Video to 1–31 Dec 2026 and Social to 15 Dec 2026 – 31 Jan 2027.
2. Try a line date outside the campaign flight.</t>
  </si>
  <si>
    <t xml:space="preserve">Dates as listed; out-of-range date 15 Feb 2027</t>
  </si>
  <si>
    <t xml:space="preserve">The valid dates save and show in the flowchart or calendar view. The out-of-range date is blocked or flagged.</t>
  </si>
  <si>
    <t xml:space="preserve">PLN-04</t>
  </si>
  <si>
    <t xml:space="preserve">Apply audience targeting and view a reach estimate</t>
  </si>
  <si>
    <t xml:space="preserve">1. Apply the audience 'Adults 25–44, Klang Valley'.
2. View the reach and frequency estimate, if available.</t>
  </si>
  <si>
    <t xml:space="preserve">A25–44, Klang Valley</t>
  </si>
  <si>
    <t xml:space="preserve">The audience saves on the plan. The reach estimate shows, with its source and assumptions labelled.</t>
  </si>
  <si>
    <t xml:space="preserve">PLN-05</t>
  </si>
  <si>
    <t xml:space="preserve">Check inventory or availability before booking</t>
  </si>
  <si>
    <t xml:space="preserve">Plan has an OTT or CTV line.</t>
  </si>
  <si>
    <t xml:space="preserve">1. Run the availability check for the OTT line in the CNY period.</t>
  </si>
  <si>
    <t xml:space="preserve">OTT, 20 Jan – 31 Jan 2027</t>
  </si>
  <si>
    <t xml:space="preserve">Availability status (available, limited or sold out) shows clearly. A sold-out item cannot be booked without a warning.</t>
  </si>
  <si>
    <t xml:space="preserve">PLN-06</t>
  </si>
  <si>
    <t xml:space="preserve">Edit, duplicate and delete plan lines</t>
  </si>
  <si>
    <t xml:space="preserve">Plan has 6 lines.</t>
  </si>
  <si>
    <t xml:space="preserve">1. Edit the Audio budget.
2. Duplicate the Social line.
3. Delete the duplicate.</t>
  </si>
  <si>
    <t xml:space="preserve">Each action takes effect immediately. Totals recalculate. Deleting asks for confirmation.</t>
  </si>
  <si>
    <t xml:space="preserve">PLN-07</t>
  </si>
  <si>
    <t xml:space="preserve">Use the AI planning assistant to recommend a channel mix</t>
  </si>
  <si>
    <t xml:space="preserve">Plan open with the brief linked.</t>
  </si>
  <si>
    <t xml:space="preserve">1. Ask the planning assistant for a recommended split of the RM 250,000 budget.
2. Accept one suggestion and reject another.</t>
  </si>
  <si>
    <t xml:space="preserve">The recommendation is labelled AI-assisted, adds up to the budget and gives a rationale. Accepting it updates the plan. Rejecting it changes nothing.</t>
  </si>
  <si>
    <t xml:space="preserve">PLN-08</t>
  </si>
  <si>
    <t xml:space="preserve">Planner judges the quality of the AI recommendation</t>
  </si>
  <si>
    <t xml:space="preserve">AI recommendation received.</t>
  </si>
  <si>
    <t xml:space="preserve">1. Compare the recommendation with how the planner would plan this brief.
2. Rate it from 1 to 5 in the comments column.</t>
  </si>
  <si>
    <t xml:space="preserve">The recommendation is realistic for the Malaysian market and in line with the rate card. Anything off is logged with reasons.</t>
  </si>
  <si>
    <t xml:space="preserve">PLN-09</t>
  </si>
  <si>
    <t xml:space="preserve">Save, autosave and reopen a plan</t>
  </si>
  <si>
    <t xml:space="preserve">Plan edited.</t>
  </si>
  <si>
    <t xml:space="preserve">1. Save the plan and close the browser tab.
2. Reopen the plan from the plan list.
3. Edit a line, then refresh without saving.</t>
  </si>
  <si>
    <t xml:space="preserve">Saved data persists. Unsaved changes are autosaved or the tester is warned before leaving the page.</t>
  </si>
  <si>
    <t xml:space="preserve">PLN-10</t>
  </si>
  <si>
    <t xml:space="preserve">Duplicate a plan and keep versions</t>
  </si>
  <si>
    <t xml:space="preserve">Plan saved.</t>
  </si>
  <si>
    <t xml:space="preserve">1. Duplicate the plan as 'Option B – digital heavy'.
2. Change the mix in Option B.
3. Compare the two options.</t>
  </si>
  <si>
    <t xml:space="preserve">Option B</t>
  </si>
  <si>
    <t xml:space="preserve">The two plans are independent. Changing Option B does not affect Option A. Both show in the plan list.</t>
  </si>
  <si>
    <t xml:space="preserve">PLN-11</t>
  </si>
  <si>
    <t xml:space="preserve">Export the media plan</t>
  </si>
  <si>
    <t xml:space="preserve">Plan complete.</t>
  </si>
  <si>
    <t xml:space="preserve">1. Export to Excel.
2. Export to PDF, if available.
3. Open both files.</t>
  </si>
  <si>
    <t xml:space="preserve">Exported files open without errors. Lines, dates, rates and totals match the screen. RM formatting is kept. The client name and plan version are shown.</t>
  </si>
  <si>
    <t xml:space="preserve">CAL-01</t>
  </si>
  <si>
    <t xml:space="preserve">05 Budget &amp; calculations</t>
  </si>
  <si>
    <t xml:space="preserve">Impressions calculated from budget and CPM</t>
  </si>
  <si>
    <t xml:space="preserve">Display line on the plan.</t>
  </si>
  <si>
    <t xml:space="preserve">1. Enter a budget of RM 20,000 at a CPM of RM 10.</t>
  </si>
  <si>
    <t xml:space="preserve">RM 20,000 ÷ RM 10 CPM × 1,000</t>
  </si>
  <si>
    <t xml:space="preserve">Impressions show as 2,000,000. Check by hand.</t>
  </si>
  <si>
    <t xml:space="preserve">CAL-02</t>
  </si>
  <si>
    <t xml:space="preserve">Plan totals and channel split</t>
  </si>
  <si>
    <t xml:space="preserve">1. Note each line's budget.
2. Compare the plan total and the percentage split per channel with a hand calculation.</t>
  </si>
  <si>
    <t xml:space="preserve">Line budgets as entered</t>
  </si>
  <si>
    <t xml:space="preserve">The total equals the sum of the lines. Channel percentages add up to 100%. There are no rounding gaps greater than RM 1.</t>
  </si>
  <si>
    <t xml:space="preserve">CAL-03</t>
  </si>
  <si>
    <t xml:space="preserve">Over-budget warning</t>
  </si>
  <si>
    <t xml:space="preserve">Plan total near RM 250,000.</t>
  </si>
  <si>
    <t xml:space="preserve">1. Increase one line so the plan total is RM 260,000.</t>
  </si>
  <si>
    <t xml:space="preserve">Plan total RM 260,000 vs a RM 250,000 budget</t>
  </si>
  <si>
    <t xml:space="preserve">A clear over-budget warning shows the difference (RM 10,000). Submitting is blocked or needs confirmation.</t>
  </si>
  <si>
    <t xml:space="preserve">CAL-04</t>
  </si>
  <si>
    <t xml:space="preserve">Discounts, agency commission and tax</t>
  </si>
  <si>
    <t xml:space="preserve">1. Apply a 15% discount to one line.
2. Apply agency commission or SST, if the tool supports them.
3. Check the gross, discount and net figures.</t>
  </si>
  <si>
    <t xml:space="preserve">15% discount; commission or SST rates from the finance team</t>
  </si>
  <si>
    <t xml:space="preserve">Gross, discount and net are calculated correctly. Each item is shown separately so the client can see it.</t>
  </si>
  <si>
    <t xml:space="preserve">CAL-05</t>
  </si>
  <si>
    <t xml:space="preserve">Changing the budget recalculates everything</t>
  </si>
  <si>
    <t xml:space="preserve">1. Change the Video line budget from RM 50,000 to RM 40,000.</t>
  </si>
  <si>
    <t xml:space="preserve">RM 40,000</t>
  </si>
  <si>
    <t xml:space="preserve">Impressions or views, line totals, channel split and plan total all update immediately and correctly.</t>
  </si>
  <si>
    <t xml:space="preserve">CAL-06</t>
  </si>
  <si>
    <t xml:space="preserve">Boundary values</t>
  </si>
  <si>
    <t xml:space="preserve">Low</t>
  </si>
  <si>
    <t xml:space="preserve">1. Enter RM 0, RM 0.01 and RM 99,999,999 on a line.
2. Enter a CPM of 0.</t>
  </si>
  <si>
    <t xml:space="preserve">As listed</t>
  </si>
  <si>
    <t xml:space="preserve">Zero and very large values are handled without crashes or 'NaN' or 'Infinity'. A CPM of 0 is blocked or flagged.</t>
  </si>
  <si>
    <t xml:space="preserve">PIT-01</t>
  </si>
  <si>
    <t xml:space="preserve">06 Pitch generation (AI)</t>
  </si>
  <si>
    <t xml:space="preserve">Generate a pitch from the brief and media plan</t>
  </si>
  <si>
    <t xml:space="preserve">Brief and plan complete.</t>
  </si>
  <si>
    <t xml:space="preserve">1. Click generate pitch.
2. Wait for the output.</t>
  </si>
  <si>
    <t xml:space="preserve">Kopi Kita brief and plan</t>
  </si>
  <si>
    <t xml:space="preserve">A pitch is produced in a reasonable time. It is labelled AI-assisted and includes the objective, audience, channel mix, budget and KPIs.</t>
  </si>
  <si>
    <t xml:space="preserve">PIT-02</t>
  </si>
  <si>
    <t xml:space="preserve">Pitch figures match the media plan</t>
  </si>
  <si>
    <t xml:space="preserve">Pitch generated.</t>
  </si>
  <si>
    <t xml:space="preserve">1. Compare every number in the pitch (budget, split, impressions, dates) with the plan.</t>
  </si>
  <si>
    <t xml:space="preserve">Every figure matches the plan. There are no made-up statistics, clients or case studies.</t>
  </si>
  <si>
    <t xml:space="preserve">PIT-03</t>
  </si>
  <si>
    <t xml:space="preserve">Edit and regenerate a pitch section</t>
  </si>
  <si>
    <t xml:space="preserve">1. Edit the headline by hand.
2. Regenerate one section only.</t>
  </si>
  <si>
    <t xml:space="preserve">Manual edits are kept. Only the chosen section changes.</t>
  </si>
  <si>
    <t xml:space="preserve">PIT-04</t>
  </si>
  <si>
    <t xml:space="preserve">Pitch needs human approval before sharing</t>
  </si>
  <si>
    <t xml:space="preserve">1. Try to share or export the pitch before it has been approved.</t>
  </si>
  <si>
    <t xml:space="preserve">Sharing is blocked or flagged until a person approves the pitch. Approval records who approved it and when.</t>
  </si>
  <si>
    <t xml:space="preserve">PIT-05</t>
  </si>
  <si>
    <t xml:space="preserve">Download the pitch deck</t>
  </si>
  <si>
    <t xml:space="preserve">Pitch approved.</t>
  </si>
  <si>
    <t xml:space="preserve">1. Download as PPTX and as PDF.
2. Open both files.</t>
  </si>
  <si>
    <t xml:space="preserve">The files open cleanly. Layout and branding are correct. Text does not overflow. The content matches the screen.</t>
  </si>
  <si>
    <t xml:space="preserve">PIT-06</t>
  </si>
  <si>
    <t xml:space="preserve">Planner judges pitch quality</t>
  </si>
  <si>
    <t xml:space="preserve">1. Read the pitch as if presenting it to the client.
2. Rate it from 1 to 5 for tone, accuracy and persuasiveness.</t>
  </si>
  <si>
    <t xml:space="preserve">The pitch is client-ready with light edits. Any issues are logged in the comments column.</t>
  </si>
  <si>
    <t xml:space="preserve">KNB-01</t>
  </si>
  <si>
    <t xml:space="preserve">07 Knowledge bank</t>
  </si>
  <si>
    <t xml:space="preserve">Search the knowledge bank</t>
  </si>
  <si>
    <t xml:space="preserve">1. Search 'CNY campaign F&amp;B'.
2. Open a result.</t>
  </si>
  <si>
    <t xml:space="preserve">Search: CNY campaign F&amp;B</t>
  </si>
  <si>
    <t xml:space="preserve">The results are relevant, show their source and date, and open correctly.</t>
  </si>
  <si>
    <t xml:space="preserve">KNB-02</t>
  </si>
  <si>
    <t xml:space="preserve">Filter and browse the knowledge bank</t>
  </si>
  <si>
    <t xml:space="preserve">Knowledge bank open.</t>
  </si>
  <si>
    <t xml:space="preserve">1. Filter by type (case study, rate card, research) and by date.</t>
  </si>
  <si>
    <t xml:space="preserve">Filters narrow the results correctly. Clearing them restores the full list.</t>
  </si>
  <si>
    <t xml:space="preserve">KNB-03</t>
  </si>
  <si>
    <t xml:space="preserve">Ask the knowledge bank a question</t>
  </si>
  <si>
    <t xml:space="preserve">1. Ask: 'What CPM did we achieve for OTT in our last F&amp;B campaign?'</t>
  </si>
  <si>
    <t xml:space="preserve">Question as listed</t>
  </si>
  <si>
    <t xml:space="preserve">The answer cites the documents it came from. If the answer is not in the knowledge bank, it says so rather than inventing a figure.</t>
  </si>
  <si>
    <t xml:space="preserve">KNB-04</t>
  </si>
  <si>
    <t xml:space="preserve">Only permitted content is visible</t>
  </si>
  <si>
    <t xml:space="preserve">1. Search for a term known to exist only in restricted documents (ask the QA lead).</t>
  </si>
  <si>
    <t xml:space="preserve">Restricted keyword</t>
  </si>
  <si>
    <t xml:space="preserve">Restricted documents do not appear in search results or AI answers.</t>
  </si>
  <si>
    <t xml:space="preserve">APR-01</t>
  </si>
  <si>
    <t xml:space="preserve">08 Review, approval &amp; collaboration</t>
  </si>
  <si>
    <t xml:space="preserve">Submit a media plan for approval</t>
  </si>
  <si>
    <t xml:space="preserve">1. Click submit for approval and pick an approver.
2. Sign in as the approver (second tester).</t>
  </si>
  <si>
    <t xml:space="preserve">Approver test account</t>
  </si>
  <si>
    <t xml:space="preserve">The approver gets an in-app notification (and email or Slack if configured). The plan status changes to In review and is read-only for the planner.</t>
  </si>
  <si>
    <t xml:space="preserve">APR-02</t>
  </si>
  <si>
    <t xml:space="preserve">Approver rejects a plan with comments; planner revises</t>
  </si>
  <si>
    <t xml:space="preserve">Plan in review.</t>
  </si>
  <si>
    <t xml:space="preserve">1. As the approver, reject the plan with the comment 'Increase OTT share'.
2. As the planner, revise and resubmit.</t>
  </si>
  <si>
    <t xml:space="preserve">Comment text</t>
  </si>
  <si>
    <t xml:space="preserve">The planner is notified and sees the comment. The plan can be edited again. Resubmitting returns it to In review.</t>
  </si>
  <si>
    <t xml:space="preserve">APR-03</t>
  </si>
  <si>
    <t xml:space="preserve">Approver approves a plan</t>
  </si>
  <si>
    <t xml:space="preserve">Plan resubmitted.</t>
  </si>
  <si>
    <t xml:space="preserve">1. As the approver, approve the plan.</t>
  </si>
  <si>
    <t xml:space="preserve">The status changes to Approved. The approver and timestamp are recorded. Approved plans cannot be edited without creating a new version.</t>
  </si>
  <si>
    <t xml:space="preserve">APR-04</t>
  </si>
  <si>
    <t xml:space="preserve">Comment and @mention a teammate</t>
  </si>
  <si>
    <t xml:space="preserve">1. Add a comment on a plan line that mentions a teammate.</t>
  </si>
  <si>
    <t xml:space="preserve">@teammate</t>
  </si>
  <si>
    <t xml:space="preserve">The comment saves against that line. The teammate is notified.</t>
  </si>
  <si>
    <t xml:space="preserve">APR-05</t>
  </si>
  <si>
    <t xml:space="preserve">Two people edit the same plan at once</t>
  </si>
  <si>
    <t xml:space="preserve">Two testers, same plan.</t>
  </si>
  <si>
    <t xml:space="preserve">1. Both open the same plan.
2. Both edit the same line and save.</t>
  </si>
  <si>
    <t xml:space="preserve">No silent data loss. The second person to save is warned, or both changes are merged in a visible way.</t>
  </si>
  <si>
    <t xml:space="preserve">APR-06</t>
  </si>
  <si>
    <t xml:space="preserve">Audit trail of key actions</t>
  </si>
  <si>
    <t xml:space="preserve">Above cases done.</t>
  </si>
  <si>
    <t xml:space="preserve">1. Ask an admin to check the audit log for the plan.</t>
  </si>
  <si>
    <t xml:space="preserve">Creating, editing, submitting, approving, AI generation and exporting are all logged with user and time.</t>
  </si>
  <si>
    <t xml:space="preserve">NFR-01</t>
  </si>
  <si>
    <t xml:space="preserve">09 Usability &amp; non-functional</t>
  </si>
  <si>
    <t xml:space="preserve">Browser compatibility</t>
  </si>
  <si>
    <t xml:space="preserve">1. Repeat the brief → plan → export flow in Chrome, Edge and Safari (latest versions).</t>
  </si>
  <si>
    <t xml:space="preserve">Chrome, Edge, Safari</t>
  </si>
  <si>
    <t xml:space="preserve">Layout and behaviour are the same in all three browsers. No broken screens.</t>
  </si>
  <si>
    <t xml:space="preserve">NFR-02</t>
  </si>
  <si>
    <t xml:space="preserve">Laptop and smaller screen sizes</t>
  </si>
  <si>
    <t xml:space="preserve">1. Use the tool at 1366×768, 1920×1080 and on a tablet.</t>
  </si>
  <si>
    <t xml:space="preserve">Tables and the flowchart stay usable. There is no clipped text or hidden buttons. The sidebar collapses cleanly.</t>
  </si>
  <si>
    <t xml:space="preserve">NFR-03</t>
  </si>
  <si>
    <t xml:space="preserve">Page load and AI response times</t>
  </si>
  <si>
    <t xml:space="preserve">1. Time page loads, saves and AI actions (scoring, recommendations, pitch).</t>
  </si>
  <si>
    <t xml:space="preserve">Stopwatch</t>
  </si>
  <si>
    <t xml:space="preserve">Pages load in under 3 s and saves complete in under 2 s. AI actions show progress and complete within the agreed limit (confirm the limit with the product team).</t>
  </si>
  <si>
    <t xml:space="preserve">NFR-04</t>
  </si>
  <si>
    <t xml:space="preserve">Error and empty states use plain language</t>
  </si>
  <si>
    <t xml:space="preserve">1. Open an empty plan list and an empty search.
2. Disconnect from the network and save.</t>
  </si>
  <si>
    <t xml:space="preserve">Messages explain the cause and what to do next (not 'No records found'). A network failure does not lose data silently.</t>
  </si>
  <si>
    <t xml:space="preserve">NFR-05</t>
  </si>
  <si>
    <t xml:space="preserve">Terminology fits agency media planning</t>
  </si>
  <si>
    <t xml:space="preserve">1. Note any labels or terms that do not match how agency planners work (e.g. CPM, CPV, flight, flowchart, IO).</t>
  </si>
  <si>
    <t xml:space="preserve">The terminology matches industry usage. Mismatches are logged as feedback.</t>
  </si>
  <si>
    <t xml:space="preserve">E2E-01</t>
  </si>
  <si>
    <t xml:space="preserve">10 End-to-end journey</t>
  </si>
  <si>
    <t xml:space="preserve">Full planner journey: brief to approved plan to pitch</t>
  </si>
  <si>
    <t xml:space="preserve">All modules available; planner and approver accounts.</t>
  </si>
  <si>
    <t xml:space="preserve">1. Sign in, open Sales × Media.
2. Create and submit the Kopi Kita brief and score it.
3. Build a plan with 5 or more channels within RM 250,000.
4. Use the AI assistant once.
5. Submit for approval, get approved.
6. Generate, approve and download the pitch.
7. Export the plan to Excel.</t>
  </si>
  <si>
    <t xml:space="preserve">The journey completes with no blockers. The data is consistent across brief, plan, pitch and exports. The planner rates the overall experience 1–5 in comments.</t>
  </si>
  <si>
    <t xml:space="preserve">Related TC ID</t>
  </si>
  <si>
    <t xml:space="preserve">Title</t>
  </si>
  <si>
    <t xml:space="preserve">Severity</t>
  </si>
  <si>
    <t xml:space="preserve">Steps to reproduce</t>
  </si>
  <si>
    <t xml:space="preserve">Expected</t>
  </si>
  <si>
    <t xml:space="preserve">Actual</t>
  </si>
  <si>
    <t xml:space="preserve">Screenshot / link</t>
  </si>
  <si>
    <t xml:space="preserve">Browser</t>
  </si>
  <si>
    <t xml:space="preserve">Raised by</t>
  </si>
  <si>
    <t xml:space="preserve">Date raised</t>
  </si>
  <si>
    <t xml:space="preserve">Owner</t>
  </si>
  <si>
    <t xml:space="preserve">Resolution notes</t>
  </si>
  <si>
    <t xml:space="preserve">DEF-001</t>
  </si>
  <si>
    <t xml:space="preserve">DEF-002</t>
  </si>
  <si>
    <t xml:space="preserve">DEF-003</t>
  </si>
  <si>
    <t xml:space="preserve">DEF-004</t>
  </si>
  <si>
    <t xml:space="preserve">DEF-005</t>
  </si>
  <si>
    <t xml:space="preserve">DEF-006</t>
  </si>
  <si>
    <t xml:space="preserve">DEF-007</t>
  </si>
  <si>
    <t xml:space="preserve">DEF-008</t>
  </si>
  <si>
    <t xml:space="preserve">DEF-009</t>
  </si>
  <si>
    <t xml:space="preserve">DEF-010</t>
  </si>
  <si>
    <t xml:space="preserve">DEF-011</t>
  </si>
  <si>
    <t xml:space="preserve">DEF-012</t>
  </si>
  <si>
    <t xml:space="preserve">DEF-013</t>
  </si>
  <si>
    <t xml:space="preserve">DEF-014</t>
  </si>
  <si>
    <t xml:space="preserve">DEF-015</t>
  </si>
  <si>
    <t xml:space="preserve">DEF-016</t>
  </si>
  <si>
    <t xml:space="preserve">DEF-017</t>
  </si>
  <si>
    <t xml:space="preserve">DEF-018</t>
  </si>
  <si>
    <t xml:space="preserve">DEF-019</t>
  </si>
  <si>
    <t xml:space="preserve">DEF-020</t>
  </si>
  <si>
    <t xml:space="preserve">DEF-021</t>
  </si>
  <si>
    <t xml:space="preserve">DEF-022</t>
  </si>
  <si>
    <t xml:space="preserve">DEF-023</t>
  </si>
  <si>
    <t xml:space="preserve">DEF-024</t>
  </si>
  <si>
    <t xml:space="preserve">DEF-025</t>
  </si>
  <si>
    <t xml:space="preserve">DEF-026</t>
  </si>
  <si>
    <t xml:space="preserve">DEF-027</t>
  </si>
  <si>
    <t xml:space="preserve">DEF-028</t>
  </si>
  <si>
    <t xml:space="preserve">DEF-029</t>
  </si>
  <si>
    <t xml:space="preserve">DEF-030</t>
  </si>
  <si>
    <t xml:space="preserve">DEF-031</t>
  </si>
  <si>
    <t xml:space="preserve">DEF-032</t>
  </si>
  <si>
    <t xml:space="preserve">DEF-033</t>
  </si>
  <si>
    <t xml:space="preserve">DEF-034</t>
  </si>
  <si>
    <t xml:space="preserve">DEF-035</t>
  </si>
  <si>
    <t xml:space="preserve">DEF-036</t>
  </si>
  <si>
    <t xml:space="preserve">DEF-037</t>
  </si>
  <si>
    <t xml:space="preserve">DEF-038</t>
  </si>
  <si>
    <t xml:space="preserve">DEF-039</t>
  </si>
  <si>
    <t xml:space="preserve">DEF-040</t>
  </si>
  <si>
    <t xml:space="preserve">DEF-041</t>
  </si>
  <si>
    <t xml:space="preserve">DEF-042</t>
  </si>
  <si>
    <t xml:space="preserve">DEF-043</t>
  </si>
  <si>
    <t xml:space="preserve">DEF-044</t>
  </si>
  <si>
    <t xml:space="preserve">DEF-045</t>
  </si>
  <si>
    <t xml:space="preserve">DEF-046</t>
  </si>
  <si>
    <t xml:space="preserve">DEF-047</t>
  </si>
  <si>
    <t xml:space="preserve">DEF-048</t>
  </si>
  <si>
    <t xml:space="preserve">DEF-049</t>
  </si>
  <si>
    <t xml:space="preserve">DEF-050</t>
  </si>
  <si>
    <t xml:space="preserve">DEF-051</t>
  </si>
  <si>
    <t xml:space="preserve">DEF-052</t>
  </si>
  <si>
    <t xml:space="preserve">DEF-053</t>
  </si>
  <si>
    <t xml:space="preserve">DEF-054</t>
  </si>
  <si>
    <t xml:space="preserve">DEF-055</t>
  </si>
  <si>
    <t xml:space="preserve">DEF-056</t>
  </si>
  <si>
    <t xml:space="preserve">DEF-057</t>
  </si>
  <si>
    <t xml:space="preserve">DEF-058</t>
  </si>
  <si>
    <t xml:space="preserve">DEF-059</t>
  </si>
  <si>
    <t xml:space="preserve">DEF-060</t>
  </si>
  <si>
    <t xml:space="preserve">DEF-061</t>
  </si>
  <si>
    <t xml:space="preserve">DEF-062</t>
  </si>
  <si>
    <t xml:space="preserve">DEF-063</t>
  </si>
  <si>
    <t xml:space="preserve">DEF-064</t>
  </si>
  <si>
    <t xml:space="preserve">DEF-065</t>
  </si>
  <si>
    <t xml:space="preserve">DEF-066</t>
  </si>
  <si>
    <t xml:space="preserve">DEF-067</t>
  </si>
  <si>
    <t xml:space="preserve">DEF-068</t>
  </si>
  <si>
    <t xml:space="preserve">DEF-069</t>
  </si>
  <si>
    <t xml:space="preserve">DEF-070</t>
  </si>
  <si>
    <t xml:space="preserve">DEF-071</t>
  </si>
  <si>
    <t xml:space="preserve">DEF-072</t>
  </si>
  <si>
    <t xml:space="preserve">DEF-073</t>
  </si>
  <si>
    <t xml:space="preserve">DEF-074</t>
  </si>
  <si>
    <t xml:space="preserve">DEF-075</t>
  </si>
  <si>
    <t xml:space="preserve">DEF-076</t>
  </si>
  <si>
    <t xml:space="preserve">DEF-077</t>
  </si>
  <si>
    <t xml:space="preserve">DEF-078</t>
  </si>
  <si>
    <t xml:space="preserve">DEF-079</t>
  </si>
  <si>
    <t xml:space="preserve">DEF-080</t>
  </si>
  <si>
    <t xml:space="preserve">DEF-081</t>
  </si>
  <si>
    <t xml:space="preserve">DEF-082</t>
  </si>
  <si>
    <t xml:space="preserve">DEF-083</t>
  </si>
  <si>
    <t xml:space="preserve">DEF-084</t>
  </si>
  <si>
    <t xml:space="preserve">DEF-085</t>
  </si>
  <si>
    <t xml:space="preserve">DEF-086</t>
  </si>
  <si>
    <t xml:space="preserve">DEF-087</t>
  </si>
  <si>
    <t xml:space="preserve">DEF-088</t>
  </si>
  <si>
    <t xml:space="preserve">DEF-089</t>
  </si>
  <si>
    <t xml:space="preserve">DEF-090</t>
  </si>
  <si>
    <t xml:space="preserve">DEF-091</t>
  </si>
  <si>
    <t xml:space="preserve">DEF-092</t>
  </si>
  <si>
    <t xml:space="preserve">DEF-093</t>
  </si>
  <si>
    <t xml:space="preserve">DEF-094</t>
  </si>
  <si>
    <t xml:space="preserve">DEF-095</t>
  </si>
  <si>
    <t xml:space="preserve">DEF-096</t>
  </si>
  <si>
    <t xml:space="preserve">DEF-097</t>
  </si>
  <si>
    <t xml:space="preserve">DEF-098</t>
  </si>
  <si>
    <t xml:space="preserve">DEF-099</t>
  </si>
  <si>
    <t xml:space="preserve">DEF-100</t>
  </si>
  <si>
    <t xml:space="preserve">Total</t>
  </si>
  <si>
    <t xml:space="preserve">Pass</t>
  </si>
  <si>
    <t xml:space="preserve">Fail</t>
  </si>
  <si>
    <t xml:space="preserve">Blocked</t>
  </si>
  <si>
    <t xml:space="preserve">N/A</t>
  </si>
  <si>
    <t xml:space="preserve">Executed %</t>
  </si>
  <si>
    <t xml:space="preserve">Pass rate %</t>
  </si>
  <si>
    <t xml:space="preserve">High-priority cases</t>
  </si>
  <si>
    <t xml:space="preserve">Total High</t>
  </si>
  <si>
    <t xml:space="preserve">High executed</t>
  </si>
  <si>
    <t xml:space="preserve">High executed %</t>
  </si>
  <si>
    <t xml:space="preserve">Open defects by severity (status not Closed or Rejected)</t>
  </si>
  <si>
    <t xml:space="preserve">Critical</t>
  </si>
  <si>
    <t xml:space="preserve">Exit criteria met?</t>
  </si>
  <si>
    <t xml:space="preserve">Exit rule: all High-priority cases executed and no open Critical or High defects (see Cover).</t>
  </si>
  <si>
    <t xml:space="preserve">Role</t>
  </si>
  <si>
    <t xml:space="preserve">Name</t>
  </si>
  <si>
    <t xml:space="preserve">Decision (Accept / Accept with conditions / Reject)</t>
  </si>
  <si>
    <t xml:space="preserve">Conditions or comments</t>
  </si>
  <si>
    <t xml:space="preserve">Signature</t>
  </si>
  <si>
    <t xml:space="preserve">Business owner – Sales × Media</t>
  </si>
  <si>
    <t xml:space="preserve">Lead media planner</t>
  </si>
  <si>
    <t xml:space="preserve">Product owner</t>
  </si>
  <si>
    <t xml:space="preserve">Platform / engineering lead</t>
  </si>
</sst>
</file>

<file path=xl/styles.xml><?xml version="1.0" encoding="utf-8"?>
<styleSheet xmlns="http://schemas.openxmlformats.org/spreadsheetml/2006/main">
  <numFmts count="4">
    <numFmt numFmtId="164" formatCode="General"/>
    <numFmt numFmtId="165" formatCode="dd\ mmm\ yyyy"/>
    <numFmt numFmtId="166" formatCode="0.0%;\-0.0%;\-"/>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5A5A5A"/>
      <name val="Arial"/>
      <family val="0"/>
      <charset val="1"/>
    </font>
  </fonts>
  <fills count="5">
    <fill>
      <patternFill patternType="none"/>
    </fill>
    <fill>
      <patternFill patternType="gray125"/>
    </fill>
    <fill>
      <patternFill patternType="solid">
        <fgColor rgb="FF2B2B2C"/>
        <bgColor rgb="FF333300"/>
      </patternFill>
    </fill>
    <fill>
      <patternFill patternType="solid">
        <fgColor rgb="FFFFF6CC"/>
        <bgColor rgb="FFFFEDD3"/>
      </patternFill>
    </fill>
    <fill>
      <patternFill patternType="solid">
        <fgColor rgb="FFF0F0F0"/>
        <bgColor rgb="FFE6E6E6"/>
      </patternFill>
    </fill>
  </fills>
  <borders count="2">
    <border diagonalUp="false" diagonalDown="false">
      <left/>
      <right/>
      <top/>
      <bottom/>
      <diagonal/>
    </border>
    <border diagonalUp="false" diagonalDown="false">
      <left style="thin">
        <color rgb="FFD8D8D8"/>
      </left>
      <right style="thin">
        <color rgb="FFD8D8D8"/>
      </right>
      <top style="thin">
        <color rgb="FFD8D8D8"/>
      </top>
      <bottom style="thin">
        <color rgb="FFD8D8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B2B2C"/>
          <bgColor rgb="FF000000"/>
        </patternFill>
      </fill>
    </dxf>
    <dxf>
      <fill>
        <patternFill patternType="solid">
          <bgColor rgb="FF000000"/>
        </patternFill>
      </fill>
    </dxf>
    <dxf>
      <fill>
        <patternFill patternType="solid">
          <fgColor rgb="FFFFFFFF"/>
          <bgColor rgb="FF000000"/>
        </patternFill>
      </fill>
    </dxf>
    <dxf>
      <fill>
        <patternFill patternType="solid">
          <fgColor rgb="FFFFF6CC"/>
          <bgColor rgb="FF000000"/>
        </patternFill>
      </fill>
    </dxf>
    <dxf>
      <fill>
        <patternFill>
          <bgColor rgb="FFCDF3E2"/>
        </patternFill>
      </fill>
    </dxf>
    <dxf>
      <fill>
        <patternFill>
          <bgColor rgb="FFFFD6DA"/>
        </patternFill>
      </fill>
    </dxf>
    <dxf>
      <fill>
        <patternFill>
          <bgColor rgb="FFFFEDD3"/>
        </patternFill>
      </fill>
    </dxf>
    <dxf>
      <fill>
        <patternFill>
          <bgColor rgb="FFE6E6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0F0F0"/>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6E6E6"/>
      <rgbColor rgb="FFCDF3E2"/>
      <rgbColor rgb="FFFFEDD3"/>
      <rgbColor rgb="FF99CCFF"/>
      <rgbColor rgb="FFFF99CC"/>
      <rgbColor rgb="FFCC99FF"/>
      <rgbColor rgb="FFFFD6DA"/>
      <rgbColor rgb="FF3366FF"/>
      <rgbColor rgb="FF33CCCC"/>
      <rgbColor rgb="FF99CC00"/>
      <rgbColor rgb="FFFFCC00"/>
      <rgbColor rgb="FFFF9900"/>
      <rgbColor rgb="FFFF6600"/>
      <rgbColor rgb="FF5A5A5A"/>
      <rgbColor rgb="FF969696"/>
      <rgbColor rgb="FF003366"/>
      <rgbColor rgb="FF339966"/>
      <rgbColor rgb="FF003300"/>
      <rgbColor rgb="FF333300"/>
      <rgbColor rgb="FF993300"/>
      <rgbColor rgb="FF993366"/>
      <rgbColor rgb="FF333399"/>
      <rgbColor rgb="FF2B2B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9.7" hidden="false" customHeight="true" outlineLevel="0" collapsed="false">
      <c r="A1" s="1" t="s">
        <v>0</v>
      </c>
      <c r="B1" s="1"/>
    </row>
    <row r="2" customFormat="false" ht="18" hidden="false" customHeight="true" outlineLevel="0" collapsed="false">
      <c r="A2" s="2" t="s">
        <v>1</v>
      </c>
      <c r="B2" s="3" t="s">
        <v>2</v>
      </c>
    </row>
    <row r="3" customFormat="false" ht="18" hidden="false" customHeight="true" outlineLevel="0" collapsed="false">
      <c r="A3" s="2" t="s">
        <v>3</v>
      </c>
      <c r="B3" s="3" t="s">
        <v>4</v>
      </c>
    </row>
    <row r="4" customFormat="false" ht="18" hidden="false" customHeight="true" outlineLevel="0" collapsed="false">
      <c r="A4" s="2" t="s">
        <v>5</v>
      </c>
      <c r="B4" s="3" t="s">
        <v>6</v>
      </c>
    </row>
    <row r="5" customFormat="false" ht="18" hidden="false" customHeight="true" outlineLevel="0" collapsed="false">
      <c r="A5" s="2" t="s">
        <v>7</v>
      </c>
      <c r="B5" s="3" t="s">
        <v>8</v>
      </c>
    </row>
    <row r="6" customFormat="false" ht="18" hidden="false" customHeight="true" outlineLevel="0" collapsed="false">
      <c r="A6" s="2" t="s">
        <v>9</v>
      </c>
      <c r="B6" s="3" t="s">
        <v>10</v>
      </c>
    </row>
    <row r="7" customFormat="false" ht="45" hidden="false" customHeight="true" outlineLevel="0" collapsed="false">
      <c r="A7" s="2" t="s">
        <v>11</v>
      </c>
      <c r="B7" s="3" t="s">
        <v>12</v>
      </c>
    </row>
    <row r="8" customFormat="false" ht="30" hidden="false" customHeight="true" outlineLevel="0" collapsed="false">
      <c r="A8" s="2" t="s">
        <v>13</v>
      </c>
      <c r="B8" s="3" t="s">
        <v>14</v>
      </c>
    </row>
    <row r="9" customFormat="false" ht="60" hidden="false" customHeight="true" outlineLevel="0" collapsed="false">
      <c r="A9" s="2" t="s">
        <v>15</v>
      </c>
      <c r="B9" s="3" t="s">
        <v>16</v>
      </c>
    </row>
    <row r="10" customFormat="false" ht="30" hidden="false" customHeight="true" outlineLevel="0" collapsed="false">
      <c r="A10" s="2" t="s">
        <v>17</v>
      </c>
      <c r="B10" s="3" t="s">
        <v>18</v>
      </c>
    </row>
    <row r="11" customFormat="false" ht="30" hidden="false" customHeight="true" outlineLevel="0" collapsed="false">
      <c r="A11" s="2" t="s">
        <v>19</v>
      </c>
      <c r="B11" s="3" t="s">
        <v>20</v>
      </c>
    </row>
    <row r="12" customFormat="false" ht="165" hidden="false" customHeight="true" outlineLevel="0" collapsed="false">
      <c r="A12" s="2" t="s">
        <v>21</v>
      </c>
      <c r="B12" s="3" t="s">
        <v>22</v>
      </c>
    </row>
    <row r="13" customFormat="false" ht="60" hidden="false" customHeight="true" outlineLevel="0" collapsed="false">
      <c r="A13" s="2" t="s">
        <v>23</v>
      </c>
      <c r="B13" s="3" t="s">
        <v>24</v>
      </c>
    </row>
    <row r="14" customFormat="false" ht="90" hidden="false" customHeight="true" outlineLevel="0" collapsed="false">
      <c r="A14" s="2" t="s">
        <v>25</v>
      </c>
      <c r="B14" s="3" t="s">
        <v>26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2"/>
    <col collapsed="false" customWidth="true" hidden="false" outlineLevel="0" max="4" min="4" style="0" width="9"/>
    <col collapsed="false" customWidth="true" hidden="false" outlineLevel="0" max="5" min="5" style="0" width="26"/>
    <col collapsed="false" customWidth="true" hidden="false" outlineLevel="0" max="6" min="6" style="0" width="48"/>
    <col collapsed="false" customWidth="true" hidden="false" outlineLevel="0" max="7" min="7" style="0" width="30"/>
    <col collapsed="false" customWidth="true" hidden="false" outlineLevel="0" max="8" min="8" style="0" width="44"/>
    <col collapsed="false" customWidth="true" hidden="false" outlineLevel="0" max="9" min="9" style="0" width="32"/>
    <col collapsed="false" customWidth="true" hidden="false" outlineLevel="0" max="11" min="10" style="0" width="11"/>
    <col collapsed="false" customWidth="true" hidden="false" outlineLevel="0" max="12" min="12" style="0" width="14"/>
    <col collapsed="false" customWidth="true" hidden="false" outlineLevel="0" max="13" min="13" style="0" width="13"/>
    <col collapsed="false" customWidth="true" hidden="false" outlineLevel="0" max="14" min="14" style="0" width="32"/>
  </cols>
  <sheetData>
    <row r="1" customFormat="false" ht="30" hidden="false" customHeight="true" outlineLevel="0" collapsed="false">
      <c r="A1" s="4" t="s">
        <v>27</v>
      </c>
      <c r="B1" s="4" t="s">
        <v>28</v>
      </c>
      <c r="C1" s="4" t="s">
        <v>29</v>
      </c>
      <c r="D1" s="4" t="s">
        <v>30</v>
      </c>
      <c r="E1" s="4" t="s">
        <v>31</v>
      </c>
      <c r="F1" s="4" t="s">
        <v>32</v>
      </c>
      <c r="G1" s="4" t="s">
        <v>33</v>
      </c>
      <c r="H1" s="4" t="s">
        <v>34</v>
      </c>
      <c r="I1" s="4" t="s">
        <v>35</v>
      </c>
      <c r="J1" s="4" t="s">
        <v>36</v>
      </c>
      <c r="K1" s="4" t="s">
        <v>37</v>
      </c>
      <c r="L1" s="4" t="s">
        <v>38</v>
      </c>
      <c r="M1" s="4" t="s">
        <v>39</v>
      </c>
      <c r="N1" s="4" t="s">
        <v>40</v>
      </c>
    </row>
    <row r="2" customFormat="false" ht="51" hidden="false" customHeight="true" outlineLevel="0" collapsed="false">
      <c r="A2" s="5" t="s">
        <v>41</v>
      </c>
      <c r="B2" s="5" t="s">
        <v>42</v>
      </c>
      <c r="C2" s="5" t="s">
        <v>43</v>
      </c>
      <c r="D2" s="5" t="s">
        <v>44</v>
      </c>
      <c r="E2" s="5" t="s">
        <v>45</v>
      </c>
      <c r="F2" s="5" t="s">
        <v>46</v>
      </c>
      <c r="G2" s="5" t="s">
        <v>47</v>
      </c>
      <c r="H2" s="5" t="s">
        <v>48</v>
      </c>
      <c r="I2" s="6"/>
      <c r="J2" s="6" t="s">
        <v>49</v>
      </c>
      <c r="K2" s="6"/>
      <c r="L2" s="6"/>
      <c r="M2" s="7"/>
      <c r="N2" s="6"/>
    </row>
    <row r="3" customFormat="false" ht="66" hidden="false" customHeight="true" outlineLevel="0" collapsed="false">
      <c r="A3" s="5" t="s">
        <v>50</v>
      </c>
      <c r="B3" s="5" t="s">
        <v>42</v>
      </c>
      <c r="C3" s="5" t="s">
        <v>51</v>
      </c>
      <c r="D3" s="5" t="s">
        <v>44</v>
      </c>
      <c r="E3" s="5" t="s">
        <v>52</v>
      </c>
      <c r="F3" s="5" t="s">
        <v>53</v>
      </c>
      <c r="G3" s="5" t="s">
        <v>54</v>
      </c>
      <c r="H3" s="5" t="s">
        <v>55</v>
      </c>
      <c r="I3" s="6"/>
      <c r="J3" s="6" t="s">
        <v>49</v>
      </c>
      <c r="K3" s="6"/>
      <c r="L3" s="6"/>
      <c r="M3" s="7"/>
      <c r="N3" s="6"/>
    </row>
    <row r="4" customFormat="false" ht="51" hidden="false" customHeight="true" outlineLevel="0" collapsed="false">
      <c r="A4" s="5" t="s">
        <v>56</v>
      </c>
      <c r="B4" s="5" t="s">
        <v>42</v>
      </c>
      <c r="C4" s="5" t="s">
        <v>57</v>
      </c>
      <c r="D4" s="5" t="s">
        <v>44</v>
      </c>
      <c r="E4" s="5" t="s">
        <v>58</v>
      </c>
      <c r="F4" s="5" t="s">
        <v>59</v>
      </c>
      <c r="G4" s="5" t="s">
        <v>60</v>
      </c>
      <c r="H4" s="5" t="s">
        <v>61</v>
      </c>
      <c r="I4" s="6"/>
      <c r="J4" s="6" t="s">
        <v>49</v>
      </c>
      <c r="K4" s="6"/>
      <c r="L4" s="6"/>
      <c r="M4" s="7"/>
      <c r="N4" s="6"/>
    </row>
    <row r="5" customFormat="false" ht="51" hidden="false" customHeight="true" outlineLevel="0" collapsed="false">
      <c r="A5" s="5" t="s">
        <v>62</v>
      </c>
      <c r="B5" s="5" t="s">
        <v>42</v>
      </c>
      <c r="C5" s="5" t="s">
        <v>63</v>
      </c>
      <c r="D5" s="5" t="s">
        <v>44</v>
      </c>
      <c r="E5" s="5" t="s">
        <v>52</v>
      </c>
      <c r="F5" s="5" t="s">
        <v>64</v>
      </c>
      <c r="G5" s="5" t="s">
        <v>65</v>
      </c>
      <c r="H5" s="5" t="s">
        <v>66</v>
      </c>
      <c r="I5" s="6"/>
      <c r="J5" s="6" t="s">
        <v>49</v>
      </c>
      <c r="K5" s="6"/>
      <c r="L5" s="6"/>
      <c r="M5" s="7"/>
      <c r="N5" s="6"/>
    </row>
    <row r="6" customFormat="false" ht="36" hidden="false" customHeight="true" outlineLevel="0" collapsed="false">
      <c r="A6" s="5" t="s">
        <v>67</v>
      </c>
      <c r="B6" s="5" t="s">
        <v>42</v>
      </c>
      <c r="C6" s="5" t="s">
        <v>68</v>
      </c>
      <c r="D6" s="5" t="s">
        <v>69</v>
      </c>
      <c r="E6" s="5" t="s">
        <v>70</v>
      </c>
      <c r="F6" s="5" t="s">
        <v>71</v>
      </c>
      <c r="G6" s="5" t="s">
        <v>72</v>
      </c>
      <c r="H6" s="5" t="s">
        <v>73</v>
      </c>
      <c r="I6" s="6"/>
      <c r="J6" s="6" t="s">
        <v>49</v>
      </c>
      <c r="K6" s="6"/>
      <c r="L6" s="6"/>
      <c r="M6" s="7"/>
      <c r="N6" s="6"/>
    </row>
    <row r="7" customFormat="false" ht="66" hidden="false" customHeight="true" outlineLevel="0" collapsed="false">
      <c r="A7" s="5" t="s">
        <v>74</v>
      </c>
      <c r="B7" s="5" t="s">
        <v>42</v>
      </c>
      <c r="C7" s="5" t="s">
        <v>75</v>
      </c>
      <c r="D7" s="5" t="s">
        <v>69</v>
      </c>
      <c r="E7" s="5" t="s">
        <v>58</v>
      </c>
      <c r="F7" s="5" t="s">
        <v>76</v>
      </c>
      <c r="G7" s="5" t="s">
        <v>77</v>
      </c>
      <c r="H7" s="5" t="s">
        <v>78</v>
      </c>
      <c r="I7" s="6"/>
      <c r="J7" s="6" t="s">
        <v>49</v>
      </c>
      <c r="K7" s="6"/>
      <c r="L7" s="6"/>
      <c r="M7" s="7"/>
      <c r="N7" s="6"/>
    </row>
    <row r="8" customFormat="false" ht="156" hidden="false" customHeight="true" outlineLevel="0" collapsed="false">
      <c r="A8" s="5" t="s">
        <v>79</v>
      </c>
      <c r="B8" s="5" t="s">
        <v>80</v>
      </c>
      <c r="C8" s="5" t="s">
        <v>81</v>
      </c>
      <c r="D8" s="5" t="s">
        <v>44</v>
      </c>
      <c r="E8" s="5" t="s">
        <v>82</v>
      </c>
      <c r="F8" s="5" t="s">
        <v>83</v>
      </c>
      <c r="G8" s="5" t="s">
        <v>84</v>
      </c>
      <c r="H8" s="5" t="s">
        <v>85</v>
      </c>
      <c r="I8" s="6"/>
      <c r="J8" s="6" t="s">
        <v>49</v>
      </c>
      <c r="K8" s="6"/>
      <c r="L8" s="6"/>
      <c r="M8" s="7"/>
      <c r="N8" s="6"/>
    </row>
    <row r="9" customFormat="false" ht="51" hidden="false" customHeight="true" outlineLevel="0" collapsed="false">
      <c r="A9" s="5" t="s">
        <v>86</v>
      </c>
      <c r="B9" s="5" t="s">
        <v>80</v>
      </c>
      <c r="C9" s="5" t="s">
        <v>87</v>
      </c>
      <c r="D9" s="5" t="s">
        <v>44</v>
      </c>
      <c r="E9" s="5" t="s">
        <v>88</v>
      </c>
      <c r="F9" s="5" t="s">
        <v>89</v>
      </c>
      <c r="G9" s="5" t="s">
        <v>90</v>
      </c>
      <c r="H9" s="5" t="s">
        <v>91</v>
      </c>
      <c r="I9" s="6"/>
      <c r="J9" s="6" t="s">
        <v>49</v>
      </c>
      <c r="K9" s="6"/>
      <c r="L9" s="6"/>
      <c r="M9" s="7"/>
      <c r="N9" s="6"/>
    </row>
    <row r="10" customFormat="false" ht="66" hidden="false" customHeight="true" outlineLevel="0" collapsed="false">
      <c r="A10" s="5" t="s">
        <v>92</v>
      </c>
      <c r="B10" s="5" t="s">
        <v>80</v>
      </c>
      <c r="C10" s="5" t="s">
        <v>93</v>
      </c>
      <c r="D10" s="5" t="s">
        <v>44</v>
      </c>
      <c r="E10" s="5" t="s">
        <v>88</v>
      </c>
      <c r="F10" s="5" t="s">
        <v>94</v>
      </c>
      <c r="G10" s="5" t="s">
        <v>95</v>
      </c>
      <c r="H10" s="5" t="s">
        <v>96</v>
      </c>
      <c r="I10" s="6"/>
      <c r="J10" s="6" t="s">
        <v>49</v>
      </c>
      <c r="K10" s="6"/>
      <c r="L10" s="6"/>
      <c r="M10" s="7"/>
      <c r="N10" s="6"/>
    </row>
    <row r="11" customFormat="false" ht="36" hidden="false" customHeight="true" outlineLevel="0" collapsed="false">
      <c r="A11" s="5" t="s">
        <v>97</v>
      </c>
      <c r="B11" s="5" t="s">
        <v>80</v>
      </c>
      <c r="C11" s="5" t="s">
        <v>98</v>
      </c>
      <c r="D11" s="5" t="s">
        <v>69</v>
      </c>
      <c r="E11" s="5" t="s">
        <v>99</v>
      </c>
      <c r="F11" s="5" t="s">
        <v>100</v>
      </c>
      <c r="G11" s="5" t="s">
        <v>101</v>
      </c>
      <c r="H11" s="5" t="s">
        <v>102</v>
      </c>
      <c r="I11" s="6"/>
      <c r="J11" s="6" t="s">
        <v>49</v>
      </c>
      <c r="K11" s="6"/>
      <c r="L11" s="6"/>
      <c r="M11" s="7"/>
      <c r="N11" s="6"/>
    </row>
    <row r="12" customFormat="false" ht="51" hidden="false" customHeight="true" outlineLevel="0" collapsed="false">
      <c r="A12" s="5" t="s">
        <v>103</v>
      </c>
      <c r="B12" s="5" t="s">
        <v>80</v>
      </c>
      <c r="C12" s="5" t="s">
        <v>104</v>
      </c>
      <c r="D12" s="5" t="s">
        <v>69</v>
      </c>
      <c r="E12" s="5" t="s">
        <v>105</v>
      </c>
      <c r="F12" s="5" t="s">
        <v>106</v>
      </c>
      <c r="G12" s="5" t="s">
        <v>107</v>
      </c>
      <c r="H12" s="5" t="s">
        <v>108</v>
      </c>
      <c r="I12" s="6"/>
      <c r="J12" s="6" t="s">
        <v>49</v>
      </c>
      <c r="K12" s="6"/>
      <c r="L12" s="6"/>
      <c r="M12" s="7"/>
      <c r="N12" s="6"/>
    </row>
    <row r="13" customFormat="false" ht="36" hidden="false" customHeight="true" outlineLevel="0" collapsed="false">
      <c r="A13" s="5" t="s">
        <v>109</v>
      </c>
      <c r="B13" s="5" t="s">
        <v>80</v>
      </c>
      <c r="C13" s="5" t="s">
        <v>110</v>
      </c>
      <c r="D13" s="5" t="s">
        <v>69</v>
      </c>
      <c r="E13" s="5" t="s">
        <v>105</v>
      </c>
      <c r="F13" s="5" t="s">
        <v>111</v>
      </c>
      <c r="G13" s="5" t="s">
        <v>112</v>
      </c>
      <c r="H13" s="5" t="s">
        <v>113</v>
      </c>
      <c r="I13" s="6"/>
      <c r="J13" s="6" t="s">
        <v>49</v>
      </c>
      <c r="K13" s="6"/>
      <c r="L13" s="6"/>
      <c r="M13" s="7"/>
      <c r="N13" s="6"/>
    </row>
    <row r="14" customFormat="false" ht="66" hidden="false" customHeight="true" outlineLevel="0" collapsed="false">
      <c r="A14" s="5" t="s">
        <v>114</v>
      </c>
      <c r="B14" s="5" t="s">
        <v>80</v>
      </c>
      <c r="C14" s="5" t="s">
        <v>115</v>
      </c>
      <c r="D14" s="5" t="s">
        <v>44</v>
      </c>
      <c r="E14" s="5" t="s">
        <v>116</v>
      </c>
      <c r="F14" s="5" t="s">
        <v>117</v>
      </c>
      <c r="G14" s="5" t="s">
        <v>60</v>
      </c>
      <c r="H14" s="5" t="s">
        <v>118</v>
      </c>
      <c r="I14" s="6"/>
      <c r="J14" s="6" t="s">
        <v>49</v>
      </c>
      <c r="K14" s="6"/>
      <c r="L14" s="6"/>
      <c r="M14" s="7"/>
      <c r="N14" s="6"/>
    </row>
    <row r="15" customFormat="false" ht="51" hidden="false" customHeight="true" outlineLevel="0" collapsed="false">
      <c r="A15" s="5" t="s">
        <v>119</v>
      </c>
      <c r="B15" s="5" t="s">
        <v>80</v>
      </c>
      <c r="C15" s="5" t="s">
        <v>120</v>
      </c>
      <c r="D15" s="5" t="s">
        <v>69</v>
      </c>
      <c r="E15" s="5" t="s">
        <v>121</v>
      </c>
      <c r="F15" s="5" t="s">
        <v>122</v>
      </c>
      <c r="G15" s="5" t="s">
        <v>123</v>
      </c>
      <c r="H15" s="5" t="s">
        <v>124</v>
      </c>
      <c r="I15" s="6"/>
      <c r="J15" s="6" t="s">
        <v>49</v>
      </c>
      <c r="K15" s="6"/>
      <c r="L15" s="6"/>
      <c r="M15" s="7"/>
      <c r="N15" s="6"/>
    </row>
    <row r="16" customFormat="false" ht="51" hidden="false" customHeight="true" outlineLevel="0" collapsed="false">
      <c r="A16" s="5" t="s">
        <v>125</v>
      </c>
      <c r="B16" s="5" t="s">
        <v>126</v>
      </c>
      <c r="C16" s="5" t="s">
        <v>127</v>
      </c>
      <c r="D16" s="5" t="s">
        <v>44</v>
      </c>
      <c r="E16" s="5" t="s">
        <v>128</v>
      </c>
      <c r="F16" s="5" t="s">
        <v>129</v>
      </c>
      <c r="G16" s="5" t="s">
        <v>130</v>
      </c>
      <c r="H16" s="5" t="s">
        <v>131</v>
      </c>
      <c r="I16" s="6"/>
      <c r="J16" s="6" t="s">
        <v>49</v>
      </c>
      <c r="K16" s="6"/>
      <c r="L16" s="6"/>
      <c r="M16" s="7"/>
      <c r="N16" s="6"/>
    </row>
    <row r="17" customFormat="false" ht="51" hidden="false" customHeight="true" outlineLevel="0" collapsed="false">
      <c r="A17" s="5" t="s">
        <v>132</v>
      </c>
      <c r="B17" s="5" t="s">
        <v>126</v>
      </c>
      <c r="C17" s="5" t="s">
        <v>133</v>
      </c>
      <c r="D17" s="5" t="s">
        <v>44</v>
      </c>
      <c r="E17" s="5" t="s">
        <v>134</v>
      </c>
      <c r="F17" s="5" t="s">
        <v>135</v>
      </c>
      <c r="G17" s="5" t="s">
        <v>136</v>
      </c>
      <c r="H17" s="5" t="s">
        <v>137</v>
      </c>
      <c r="I17" s="6"/>
      <c r="J17" s="6" t="s">
        <v>49</v>
      </c>
      <c r="K17" s="6"/>
      <c r="L17" s="6"/>
      <c r="M17" s="7"/>
      <c r="N17" s="6"/>
    </row>
    <row r="18" customFormat="false" ht="51" hidden="false" customHeight="true" outlineLevel="0" collapsed="false">
      <c r="A18" s="5" t="s">
        <v>138</v>
      </c>
      <c r="B18" s="5" t="s">
        <v>126</v>
      </c>
      <c r="C18" s="5" t="s">
        <v>139</v>
      </c>
      <c r="D18" s="5" t="s">
        <v>69</v>
      </c>
      <c r="E18" s="5" t="s">
        <v>140</v>
      </c>
      <c r="F18" s="5" t="s">
        <v>141</v>
      </c>
      <c r="G18" s="5" t="s">
        <v>142</v>
      </c>
      <c r="H18" s="5" t="s">
        <v>143</v>
      </c>
      <c r="I18" s="6"/>
      <c r="J18" s="6" t="s">
        <v>49</v>
      </c>
      <c r="K18" s="6"/>
      <c r="L18" s="6"/>
      <c r="M18" s="7"/>
      <c r="N18" s="6"/>
    </row>
    <row r="19" customFormat="false" ht="51" hidden="false" customHeight="true" outlineLevel="0" collapsed="false">
      <c r="A19" s="5" t="s">
        <v>144</v>
      </c>
      <c r="B19" s="5" t="s">
        <v>126</v>
      </c>
      <c r="C19" s="5" t="s">
        <v>145</v>
      </c>
      <c r="D19" s="5" t="s">
        <v>44</v>
      </c>
      <c r="E19" s="5" t="s">
        <v>146</v>
      </c>
      <c r="F19" s="5" t="s">
        <v>147</v>
      </c>
      <c r="G19" s="5" t="s">
        <v>148</v>
      </c>
      <c r="H19" s="5" t="s">
        <v>149</v>
      </c>
      <c r="I19" s="6"/>
      <c r="J19" s="6" t="s">
        <v>49</v>
      </c>
      <c r="K19" s="6"/>
      <c r="L19" s="6"/>
      <c r="M19" s="7"/>
      <c r="N19" s="6"/>
    </row>
    <row r="20" customFormat="false" ht="51" hidden="false" customHeight="true" outlineLevel="0" collapsed="false">
      <c r="A20" s="5" t="s">
        <v>150</v>
      </c>
      <c r="B20" s="5" t="s">
        <v>151</v>
      </c>
      <c r="C20" s="5" t="s">
        <v>152</v>
      </c>
      <c r="D20" s="5" t="s">
        <v>44</v>
      </c>
      <c r="E20" s="5" t="s">
        <v>153</v>
      </c>
      <c r="F20" s="5" t="s">
        <v>154</v>
      </c>
      <c r="G20" s="5" t="s">
        <v>130</v>
      </c>
      <c r="H20" s="5" t="s">
        <v>155</v>
      </c>
      <c r="I20" s="6"/>
      <c r="J20" s="6" t="s">
        <v>49</v>
      </c>
      <c r="K20" s="6"/>
      <c r="L20" s="6"/>
      <c r="M20" s="7"/>
      <c r="N20" s="6"/>
    </row>
    <row r="21" customFormat="false" ht="66" hidden="false" customHeight="true" outlineLevel="0" collapsed="false">
      <c r="A21" s="5" t="s">
        <v>156</v>
      </c>
      <c r="B21" s="5" t="s">
        <v>151</v>
      </c>
      <c r="C21" s="5" t="s">
        <v>157</v>
      </c>
      <c r="D21" s="5" t="s">
        <v>44</v>
      </c>
      <c r="E21" s="5" t="s">
        <v>158</v>
      </c>
      <c r="F21" s="5" t="s">
        <v>159</v>
      </c>
      <c r="G21" s="5" t="s">
        <v>160</v>
      </c>
      <c r="H21" s="5" t="s">
        <v>161</v>
      </c>
      <c r="I21" s="6"/>
      <c r="J21" s="6" t="s">
        <v>49</v>
      </c>
      <c r="K21" s="6"/>
      <c r="L21" s="6"/>
      <c r="M21" s="7"/>
      <c r="N21" s="6"/>
    </row>
    <row r="22" customFormat="false" ht="51" hidden="false" customHeight="true" outlineLevel="0" collapsed="false">
      <c r="A22" s="5" t="s">
        <v>162</v>
      </c>
      <c r="B22" s="5" t="s">
        <v>151</v>
      </c>
      <c r="C22" s="5" t="s">
        <v>163</v>
      </c>
      <c r="D22" s="5" t="s">
        <v>44</v>
      </c>
      <c r="E22" s="5" t="s">
        <v>164</v>
      </c>
      <c r="F22" s="5" t="s">
        <v>165</v>
      </c>
      <c r="G22" s="5" t="s">
        <v>166</v>
      </c>
      <c r="H22" s="5" t="s">
        <v>167</v>
      </c>
      <c r="I22" s="6"/>
      <c r="J22" s="6" t="s">
        <v>49</v>
      </c>
      <c r="K22" s="6"/>
      <c r="L22" s="6"/>
      <c r="M22" s="7"/>
      <c r="N22" s="6"/>
    </row>
    <row r="23" customFormat="false" ht="51" hidden="false" customHeight="true" outlineLevel="0" collapsed="false">
      <c r="A23" s="5" t="s">
        <v>168</v>
      </c>
      <c r="B23" s="5" t="s">
        <v>151</v>
      </c>
      <c r="C23" s="5" t="s">
        <v>169</v>
      </c>
      <c r="D23" s="5" t="s">
        <v>69</v>
      </c>
      <c r="E23" s="5" t="s">
        <v>164</v>
      </c>
      <c r="F23" s="5" t="s">
        <v>170</v>
      </c>
      <c r="G23" s="5" t="s">
        <v>171</v>
      </c>
      <c r="H23" s="5" t="s">
        <v>172</v>
      </c>
      <c r="I23" s="6"/>
      <c r="J23" s="6" t="s">
        <v>49</v>
      </c>
      <c r="K23" s="6"/>
      <c r="L23" s="6"/>
      <c r="M23" s="7"/>
      <c r="N23" s="6"/>
    </row>
    <row r="24" customFormat="false" ht="51" hidden="false" customHeight="true" outlineLevel="0" collapsed="false">
      <c r="A24" s="5" t="s">
        <v>173</v>
      </c>
      <c r="B24" s="5" t="s">
        <v>151</v>
      </c>
      <c r="C24" s="5" t="s">
        <v>174</v>
      </c>
      <c r="D24" s="5" t="s">
        <v>69</v>
      </c>
      <c r="E24" s="5" t="s">
        <v>175</v>
      </c>
      <c r="F24" s="5" t="s">
        <v>176</v>
      </c>
      <c r="G24" s="5" t="s">
        <v>177</v>
      </c>
      <c r="H24" s="5" t="s">
        <v>178</v>
      </c>
      <c r="I24" s="6"/>
      <c r="J24" s="6" t="s">
        <v>49</v>
      </c>
      <c r="K24" s="6"/>
      <c r="L24" s="6"/>
      <c r="M24" s="7"/>
      <c r="N24" s="6"/>
    </row>
    <row r="25" customFormat="false" ht="51" hidden="false" customHeight="true" outlineLevel="0" collapsed="false">
      <c r="A25" s="5" t="s">
        <v>179</v>
      </c>
      <c r="B25" s="5" t="s">
        <v>151</v>
      </c>
      <c r="C25" s="5" t="s">
        <v>180</v>
      </c>
      <c r="D25" s="5" t="s">
        <v>44</v>
      </c>
      <c r="E25" s="5" t="s">
        <v>181</v>
      </c>
      <c r="F25" s="5" t="s">
        <v>182</v>
      </c>
      <c r="G25" s="5" t="s">
        <v>60</v>
      </c>
      <c r="H25" s="5" t="s">
        <v>183</v>
      </c>
      <c r="I25" s="6"/>
      <c r="J25" s="6" t="s">
        <v>49</v>
      </c>
      <c r="K25" s="6"/>
      <c r="L25" s="6"/>
      <c r="M25" s="7"/>
      <c r="N25" s="6"/>
    </row>
    <row r="26" customFormat="false" ht="66" hidden="false" customHeight="true" outlineLevel="0" collapsed="false">
      <c r="A26" s="5" t="s">
        <v>184</v>
      </c>
      <c r="B26" s="5" t="s">
        <v>151</v>
      </c>
      <c r="C26" s="5" t="s">
        <v>185</v>
      </c>
      <c r="D26" s="5" t="s">
        <v>44</v>
      </c>
      <c r="E26" s="5" t="s">
        <v>186</v>
      </c>
      <c r="F26" s="5" t="s">
        <v>187</v>
      </c>
      <c r="G26" s="5" t="s">
        <v>130</v>
      </c>
      <c r="H26" s="5" t="s">
        <v>188</v>
      </c>
      <c r="I26" s="6"/>
      <c r="J26" s="6" t="s">
        <v>49</v>
      </c>
      <c r="K26" s="6"/>
      <c r="L26" s="6"/>
      <c r="M26" s="7"/>
      <c r="N26" s="6"/>
    </row>
    <row r="27" customFormat="false" ht="51" hidden="false" customHeight="true" outlineLevel="0" collapsed="false">
      <c r="A27" s="5" t="s">
        <v>189</v>
      </c>
      <c r="B27" s="5" t="s">
        <v>151</v>
      </c>
      <c r="C27" s="5" t="s">
        <v>190</v>
      </c>
      <c r="D27" s="5" t="s">
        <v>44</v>
      </c>
      <c r="E27" s="5" t="s">
        <v>191</v>
      </c>
      <c r="F27" s="5" t="s">
        <v>192</v>
      </c>
      <c r="G27" s="5" t="s">
        <v>60</v>
      </c>
      <c r="H27" s="5" t="s">
        <v>193</v>
      </c>
      <c r="I27" s="6"/>
      <c r="J27" s="6" t="s">
        <v>49</v>
      </c>
      <c r="K27" s="6"/>
      <c r="L27" s="6"/>
      <c r="M27" s="7"/>
      <c r="N27" s="6"/>
    </row>
    <row r="28" customFormat="false" ht="51" hidden="false" customHeight="true" outlineLevel="0" collapsed="false">
      <c r="A28" s="5" t="s">
        <v>194</v>
      </c>
      <c r="B28" s="5" t="s">
        <v>151</v>
      </c>
      <c r="C28" s="5" t="s">
        <v>195</v>
      </c>
      <c r="D28" s="5" t="s">
        <v>44</v>
      </c>
      <c r="E28" s="5" t="s">
        <v>196</v>
      </c>
      <c r="F28" s="5" t="s">
        <v>197</v>
      </c>
      <c r="G28" s="5" t="s">
        <v>60</v>
      </c>
      <c r="H28" s="5" t="s">
        <v>198</v>
      </c>
      <c r="I28" s="6"/>
      <c r="J28" s="6" t="s">
        <v>49</v>
      </c>
      <c r="K28" s="6"/>
      <c r="L28" s="6"/>
      <c r="M28" s="7"/>
      <c r="N28" s="6"/>
    </row>
    <row r="29" customFormat="false" ht="51" hidden="false" customHeight="true" outlineLevel="0" collapsed="false">
      <c r="A29" s="5" t="s">
        <v>199</v>
      </c>
      <c r="B29" s="5" t="s">
        <v>151</v>
      </c>
      <c r="C29" s="5" t="s">
        <v>200</v>
      </c>
      <c r="D29" s="5" t="s">
        <v>69</v>
      </c>
      <c r="E29" s="5" t="s">
        <v>201</v>
      </c>
      <c r="F29" s="5" t="s">
        <v>202</v>
      </c>
      <c r="G29" s="5" t="s">
        <v>203</v>
      </c>
      <c r="H29" s="5" t="s">
        <v>204</v>
      </c>
      <c r="I29" s="6"/>
      <c r="J29" s="6" t="s">
        <v>49</v>
      </c>
      <c r="K29" s="6"/>
      <c r="L29" s="6"/>
      <c r="M29" s="7"/>
      <c r="N29" s="6"/>
    </row>
    <row r="30" customFormat="false" ht="66" hidden="false" customHeight="true" outlineLevel="0" collapsed="false">
      <c r="A30" s="5" t="s">
        <v>205</v>
      </c>
      <c r="B30" s="5" t="s">
        <v>151</v>
      </c>
      <c r="C30" s="5" t="s">
        <v>206</v>
      </c>
      <c r="D30" s="5" t="s">
        <v>44</v>
      </c>
      <c r="E30" s="5" t="s">
        <v>207</v>
      </c>
      <c r="F30" s="5" t="s">
        <v>208</v>
      </c>
      <c r="G30" s="5" t="s">
        <v>60</v>
      </c>
      <c r="H30" s="5" t="s">
        <v>209</v>
      </c>
      <c r="I30" s="6"/>
      <c r="J30" s="6" t="s">
        <v>49</v>
      </c>
      <c r="K30" s="6"/>
      <c r="L30" s="6"/>
      <c r="M30" s="7"/>
      <c r="N30" s="6"/>
    </row>
    <row r="31" customFormat="false" ht="36" hidden="false" customHeight="true" outlineLevel="0" collapsed="false">
      <c r="A31" s="5" t="s">
        <v>210</v>
      </c>
      <c r="B31" s="5" t="s">
        <v>211</v>
      </c>
      <c r="C31" s="5" t="s">
        <v>212</v>
      </c>
      <c r="D31" s="5" t="s">
        <v>44</v>
      </c>
      <c r="E31" s="5" t="s">
        <v>213</v>
      </c>
      <c r="F31" s="5" t="s">
        <v>214</v>
      </c>
      <c r="G31" s="5" t="s">
        <v>215</v>
      </c>
      <c r="H31" s="5" t="s">
        <v>216</v>
      </c>
      <c r="I31" s="6"/>
      <c r="J31" s="6" t="s">
        <v>49</v>
      </c>
      <c r="K31" s="6"/>
      <c r="L31" s="6"/>
      <c r="M31" s="7"/>
      <c r="N31" s="6"/>
    </row>
    <row r="32" customFormat="false" ht="51" hidden="false" customHeight="true" outlineLevel="0" collapsed="false">
      <c r="A32" s="5" t="s">
        <v>217</v>
      </c>
      <c r="B32" s="5" t="s">
        <v>211</v>
      </c>
      <c r="C32" s="5" t="s">
        <v>218</v>
      </c>
      <c r="D32" s="5" t="s">
        <v>44</v>
      </c>
      <c r="E32" s="5" t="s">
        <v>181</v>
      </c>
      <c r="F32" s="5" t="s">
        <v>219</v>
      </c>
      <c r="G32" s="5" t="s">
        <v>220</v>
      </c>
      <c r="H32" s="5" t="s">
        <v>221</v>
      </c>
      <c r="I32" s="6"/>
      <c r="J32" s="6" t="s">
        <v>49</v>
      </c>
      <c r="K32" s="6"/>
      <c r="L32" s="6"/>
      <c r="M32" s="7"/>
      <c r="N32" s="6"/>
    </row>
    <row r="33" customFormat="false" ht="51" hidden="false" customHeight="true" outlineLevel="0" collapsed="false">
      <c r="A33" s="5" t="s">
        <v>222</v>
      </c>
      <c r="B33" s="5" t="s">
        <v>211</v>
      </c>
      <c r="C33" s="5" t="s">
        <v>223</v>
      </c>
      <c r="D33" s="5" t="s">
        <v>44</v>
      </c>
      <c r="E33" s="5" t="s">
        <v>224</v>
      </c>
      <c r="F33" s="5" t="s">
        <v>225</v>
      </c>
      <c r="G33" s="5" t="s">
        <v>226</v>
      </c>
      <c r="H33" s="5" t="s">
        <v>227</v>
      </c>
      <c r="I33" s="6"/>
      <c r="J33" s="6" t="s">
        <v>49</v>
      </c>
      <c r="K33" s="6"/>
      <c r="L33" s="6"/>
      <c r="M33" s="7"/>
      <c r="N33" s="6"/>
    </row>
    <row r="34" customFormat="false" ht="66" hidden="false" customHeight="true" outlineLevel="0" collapsed="false">
      <c r="A34" s="5" t="s">
        <v>228</v>
      </c>
      <c r="B34" s="5" t="s">
        <v>211</v>
      </c>
      <c r="C34" s="5" t="s">
        <v>229</v>
      </c>
      <c r="D34" s="5" t="s">
        <v>69</v>
      </c>
      <c r="E34" s="5" t="s">
        <v>164</v>
      </c>
      <c r="F34" s="5" t="s">
        <v>230</v>
      </c>
      <c r="G34" s="5" t="s">
        <v>231</v>
      </c>
      <c r="H34" s="5" t="s">
        <v>232</v>
      </c>
      <c r="I34" s="6"/>
      <c r="J34" s="6" t="s">
        <v>49</v>
      </c>
      <c r="K34" s="6"/>
      <c r="L34" s="6"/>
      <c r="M34" s="7"/>
      <c r="N34" s="6"/>
    </row>
    <row r="35" customFormat="false" ht="51" hidden="false" customHeight="true" outlineLevel="0" collapsed="false">
      <c r="A35" s="5" t="s">
        <v>233</v>
      </c>
      <c r="B35" s="5" t="s">
        <v>211</v>
      </c>
      <c r="C35" s="5" t="s">
        <v>234</v>
      </c>
      <c r="D35" s="5" t="s">
        <v>69</v>
      </c>
      <c r="E35" s="5" t="s">
        <v>207</v>
      </c>
      <c r="F35" s="5" t="s">
        <v>235</v>
      </c>
      <c r="G35" s="5" t="s">
        <v>236</v>
      </c>
      <c r="H35" s="5" t="s">
        <v>237</v>
      </c>
      <c r="I35" s="6"/>
      <c r="J35" s="6" t="s">
        <v>49</v>
      </c>
      <c r="K35" s="6"/>
      <c r="L35" s="6"/>
      <c r="M35" s="7"/>
      <c r="N35" s="6"/>
    </row>
    <row r="36" customFormat="false" ht="51" hidden="false" customHeight="true" outlineLevel="0" collapsed="false">
      <c r="A36" s="5" t="s">
        <v>238</v>
      </c>
      <c r="B36" s="5" t="s">
        <v>211</v>
      </c>
      <c r="C36" s="5" t="s">
        <v>239</v>
      </c>
      <c r="D36" s="5" t="s">
        <v>240</v>
      </c>
      <c r="E36" s="5" t="s">
        <v>158</v>
      </c>
      <c r="F36" s="5" t="s">
        <v>241</v>
      </c>
      <c r="G36" s="5" t="s">
        <v>242</v>
      </c>
      <c r="H36" s="5" t="s">
        <v>243</v>
      </c>
      <c r="I36" s="6"/>
      <c r="J36" s="6" t="s">
        <v>49</v>
      </c>
      <c r="K36" s="6"/>
      <c r="L36" s="6"/>
      <c r="M36" s="7"/>
      <c r="N36" s="6"/>
    </row>
    <row r="37" customFormat="false" ht="66" hidden="false" customHeight="true" outlineLevel="0" collapsed="false">
      <c r="A37" s="5" t="s">
        <v>244</v>
      </c>
      <c r="B37" s="5" t="s">
        <v>245</v>
      </c>
      <c r="C37" s="5" t="s">
        <v>246</v>
      </c>
      <c r="D37" s="5" t="s">
        <v>44</v>
      </c>
      <c r="E37" s="5" t="s">
        <v>247</v>
      </c>
      <c r="F37" s="5" t="s">
        <v>248</v>
      </c>
      <c r="G37" s="5" t="s">
        <v>249</v>
      </c>
      <c r="H37" s="5" t="s">
        <v>250</v>
      </c>
      <c r="I37" s="6"/>
      <c r="J37" s="6" t="s">
        <v>49</v>
      </c>
      <c r="K37" s="6"/>
      <c r="L37" s="6"/>
      <c r="M37" s="7"/>
      <c r="N37" s="6"/>
    </row>
    <row r="38" customFormat="false" ht="51" hidden="false" customHeight="true" outlineLevel="0" collapsed="false">
      <c r="A38" s="5" t="s">
        <v>251</v>
      </c>
      <c r="B38" s="5" t="s">
        <v>245</v>
      </c>
      <c r="C38" s="5" t="s">
        <v>252</v>
      </c>
      <c r="D38" s="5" t="s">
        <v>44</v>
      </c>
      <c r="E38" s="5" t="s">
        <v>253</v>
      </c>
      <c r="F38" s="5" t="s">
        <v>254</v>
      </c>
      <c r="G38" s="5" t="s">
        <v>60</v>
      </c>
      <c r="H38" s="5" t="s">
        <v>255</v>
      </c>
      <c r="I38" s="6"/>
      <c r="J38" s="6" t="s">
        <v>49</v>
      </c>
      <c r="K38" s="6"/>
      <c r="L38" s="6"/>
      <c r="M38" s="7"/>
      <c r="N38" s="6"/>
    </row>
    <row r="39" customFormat="false" ht="36" hidden="false" customHeight="true" outlineLevel="0" collapsed="false">
      <c r="A39" s="5" t="s">
        <v>256</v>
      </c>
      <c r="B39" s="5" t="s">
        <v>245</v>
      </c>
      <c r="C39" s="5" t="s">
        <v>257</v>
      </c>
      <c r="D39" s="5" t="s">
        <v>69</v>
      </c>
      <c r="E39" s="5" t="s">
        <v>253</v>
      </c>
      <c r="F39" s="5" t="s">
        <v>258</v>
      </c>
      <c r="G39" s="5" t="s">
        <v>60</v>
      </c>
      <c r="H39" s="5" t="s">
        <v>259</v>
      </c>
      <c r="I39" s="6"/>
      <c r="J39" s="6" t="s">
        <v>49</v>
      </c>
      <c r="K39" s="6"/>
      <c r="L39" s="6"/>
      <c r="M39" s="7"/>
      <c r="N39" s="6"/>
    </row>
    <row r="40" customFormat="false" ht="51" hidden="false" customHeight="true" outlineLevel="0" collapsed="false">
      <c r="A40" s="5" t="s">
        <v>260</v>
      </c>
      <c r="B40" s="5" t="s">
        <v>245</v>
      </c>
      <c r="C40" s="5" t="s">
        <v>261</v>
      </c>
      <c r="D40" s="5" t="s">
        <v>44</v>
      </c>
      <c r="E40" s="5" t="s">
        <v>253</v>
      </c>
      <c r="F40" s="5" t="s">
        <v>262</v>
      </c>
      <c r="G40" s="5" t="s">
        <v>60</v>
      </c>
      <c r="H40" s="5" t="s">
        <v>263</v>
      </c>
      <c r="I40" s="6"/>
      <c r="J40" s="6" t="s">
        <v>49</v>
      </c>
      <c r="K40" s="6"/>
      <c r="L40" s="6"/>
      <c r="M40" s="7"/>
      <c r="N40" s="6"/>
    </row>
    <row r="41" customFormat="false" ht="51" hidden="false" customHeight="true" outlineLevel="0" collapsed="false">
      <c r="A41" s="5" t="s">
        <v>264</v>
      </c>
      <c r="B41" s="5" t="s">
        <v>245</v>
      </c>
      <c r="C41" s="5" t="s">
        <v>265</v>
      </c>
      <c r="D41" s="5" t="s">
        <v>44</v>
      </c>
      <c r="E41" s="5" t="s">
        <v>266</v>
      </c>
      <c r="F41" s="5" t="s">
        <v>267</v>
      </c>
      <c r="G41" s="5" t="s">
        <v>60</v>
      </c>
      <c r="H41" s="5" t="s">
        <v>268</v>
      </c>
      <c r="I41" s="6"/>
      <c r="J41" s="6" t="s">
        <v>49</v>
      </c>
      <c r="K41" s="6"/>
      <c r="L41" s="6"/>
      <c r="M41" s="7"/>
      <c r="N41" s="6"/>
    </row>
    <row r="42" customFormat="false" ht="51" hidden="false" customHeight="true" outlineLevel="0" collapsed="false">
      <c r="A42" s="5" t="s">
        <v>269</v>
      </c>
      <c r="B42" s="5" t="s">
        <v>245</v>
      </c>
      <c r="C42" s="5" t="s">
        <v>270</v>
      </c>
      <c r="D42" s="5" t="s">
        <v>44</v>
      </c>
      <c r="E42" s="5" t="s">
        <v>253</v>
      </c>
      <c r="F42" s="5" t="s">
        <v>271</v>
      </c>
      <c r="G42" s="5" t="s">
        <v>60</v>
      </c>
      <c r="H42" s="5" t="s">
        <v>272</v>
      </c>
      <c r="I42" s="6"/>
      <c r="J42" s="6" t="s">
        <v>49</v>
      </c>
      <c r="K42" s="6"/>
      <c r="L42" s="6"/>
      <c r="M42" s="7"/>
      <c r="N42" s="6"/>
    </row>
    <row r="43" customFormat="false" ht="36" hidden="false" customHeight="true" outlineLevel="0" collapsed="false">
      <c r="A43" s="5" t="s">
        <v>273</v>
      </c>
      <c r="B43" s="5" t="s">
        <v>274</v>
      </c>
      <c r="C43" s="5" t="s">
        <v>275</v>
      </c>
      <c r="D43" s="5" t="s">
        <v>44</v>
      </c>
      <c r="E43" s="5" t="s">
        <v>82</v>
      </c>
      <c r="F43" s="5" t="s">
        <v>276</v>
      </c>
      <c r="G43" s="5" t="s">
        <v>277</v>
      </c>
      <c r="H43" s="5" t="s">
        <v>278</v>
      </c>
      <c r="I43" s="6"/>
      <c r="J43" s="6" t="s">
        <v>49</v>
      </c>
      <c r="K43" s="6"/>
      <c r="L43" s="6"/>
      <c r="M43" s="7"/>
      <c r="N43" s="6"/>
    </row>
    <row r="44" customFormat="false" ht="36" hidden="false" customHeight="true" outlineLevel="0" collapsed="false">
      <c r="A44" s="5" t="s">
        <v>279</v>
      </c>
      <c r="B44" s="5" t="s">
        <v>274</v>
      </c>
      <c r="C44" s="5" t="s">
        <v>280</v>
      </c>
      <c r="D44" s="5" t="s">
        <v>69</v>
      </c>
      <c r="E44" s="5" t="s">
        <v>281</v>
      </c>
      <c r="F44" s="5" t="s">
        <v>282</v>
      </c>
      <c r="G44" s="5" t="s">
        <v>60</v>
      </c>
      <c r="H44" s="5" t="s">
        <v>283</v>
      </c>
      <c r="I44" s="6"/>
      <c r="J44" s="6" t="s">
        <v>49</v>
      </c>
      <c r="K44" s="6"/>
      <c r="L44" s="6"/>
      <c r="M44" s="7"/>
      <c r="N44" s="6"/>
    </row>
    <row r="45" customFormat="false" ht="66" hidden="false" customHeight="true" outlineLevel="0" collapsed="false">
      <c r="A45" s="5" t="s">
        <v>284</v>
      </c>
      <c r="B45" s="5" t="s">
        <v>274</v>
      </c>
      <c r="C45" s="5" t="s">
        <v>285</v>
      </c>
      <c r="D45" s="5" t="s">
        <v>69</v>
      </c>
      <c r="E45" s="5" t="s">
        <v>281</v>
      </c>
      <c r="F45" s="5" t="s">
        <v>286</v>
      </c>
      <c r="G45" s="5" t="s">
        <v>287</v>
      </c>
      <c r="H45" s="5" t="s">
        <v>288</v>
      </c>
      <c r="I45" s="6"/>
      <c r="J45" s="6" t="s">
        <v>49</v>
      </c>
      <c r="K45" s="6"/>
      <c r="L45" s="6"/>
      <c r="M45" s="7"/>
      <c r="N45" s="6"/>
    </row>
    <row r="46" customFormat="false" ht="36" hidden="false" customHeight="true" outlineLevel="0" collapsed="false">
      <c r="A46" s="5" t="s">
        <v>289</v>
      </c>
      <c r="B46" s="5" t="s">
        <v>274</v>
      </c>
      <c r="C46" s="5" t="s">
        <v>290</v>
      </c>
      <c r="D46" s="5" t="s">
        <v>44</v>
      </c>
      <c r="E46" s="5" t="s">
        <v>52</v>
      </c>
      <c r="F46" s="5" t="s">
        <v>291</v>
      </c>
      <c r="G46" s="5" t="s">
        <v>292</v>
      </c>
      <c r="H46" s="5" t="s">
        <v>293</v>
      </c>
      <c r="I46" s="6"/>
      <c r="J46" s="6" t="s">
        <v>49</v>
      </c>
      <c r="K46" s="6"/>
      <c r="L46" s="6"/>
      <c r="M46" s="7"/>
      <c r="N46" s="6"/>
    </row>
    <row r="47" customFormat="false" ht="66" hidden="false" customHeight="true" outlineLevel="0" collapsed="false">
      <c r="A47" s="5" t="s">
        <v>294</v>
      </c>
      <c r="B47" s="5" t="s">
        <v>295</v>
      </c>
      <c r="C47" s="5" t="s">
        <v>296</v>
      </c>
      <c r="D47" s="5" t="s">
        <v>44</v>
      </c>
      <c r="E47" s="5" t="s">
        <v>207</v>
      </c>
      <c r="F47" s="5" t="s">
        <v>297</v>
      </c>
      <c r="G47" s="5" t="s">
        <v>298</v>
      </c>
      <c r="H47" s="5" t="s">
        <v>299</v>
      </c>
      <c r="I47" s="6"/>
      <c r="J47" s="6" t="s">
        <v>49</v>
      </c>
      <c r="K47" s="6"/>
      <c r="L47" s="6"/>
      <c r="M47" s="7"/>
      <c r="N47" s="6"/>
    </row>
    <row r="48" customFormat="false" ht="51" hidden="false" customHeight="true" outlineLevel="0" collapsed="false">
      <c r="A48" s="5" t="s">
        <v>300</v>
      </c>
      <c r="B48" s="5" t="s">
        <v>295</v>
      </c>
      <c r="C48" s="5" t="s">
        <v>301</v>
      </c>
      <c r="D48" s="5" t="s">
        <v>44</v>
      </c>
      <c r="E48" s="5" t="s">
        <v>302</v>
      </c>
      <c r="F48" s="5" t="s">
        <v>303</v>
      </c>
      <c r="G48" s="5" t="s">
        <v>304</v>
      </c>
      <c r="H48" s="5" t="s">
        <v>305</v>
      </c>
      <c r="I48" s="6"/>
      <c r="J48" s="6" t="s">
        <v>49</v>
      </c>
      <c r="K48" s="6"/>
      <c r="L48" s="6"/>
      <c r="M48" s="7"/>
      <c r="N48" s="6"/>
    </row>
    <row r="49" customFormat="false" ht="66" hidden="false" customHeight="true" outlineLevel="0" collapsed="false">
      <c r="A49" s="5" t="s">
        <v>306</v>
      </c>
      <c r="B49" s="5" t="s">
        <v>295</v>
      </c>
      <c r="C49" s="5" t="s">
        <v>307</v>
      </c>
      <c r="D49" s="5" t="s">
        <v>44</v>
      </c>
      <c r="E49" s="5" t="s">
        <v>308</v>
      </c>
      <c r="F49" s="5" t="s">
        <v>309</v>
      </c>
      <c r="G49" s="5" t="s">
        <v>60</v>
      </c>
      <c r="H49" s="5" t="s">
        <v>310</v>
      </c>
      <c r="I49" s="6"/>
      <c r="J49" s="6" t="s">
        <v>49</v>
      </c>
      <c r="K49" s="6"/>
      <c r="L49" s="6"/>
      <c r="M49" s="7"/>
      <c r="N49" s="6"/>
    </row>
    <row r="50" customFormat="false" ht="36" hidden="false" customHeight="true" outlineLevel="0" collapsed="false">
      <c r="A50" s="5" t="s">
        <v>311</v>
      </c>
      <c r="B50" s="5" t="s">
        <v>295</v>
      </c>
      <c r="C50" s="5" t="s">
        <v>312</v>
      </c>
      <c r="D50" s="5" t="s">
        <v>69</v>
      </c>
      <c r="E50" s="5" t="s">
        <v>158</v>
      </c>
      <c r="F50" s="5" t="s">
        <v>313</v>
      </c>
      <c r="G50" s="5" t="s">
        <v>314</v>
      </c>
      <c r="H50" s="5" t="s">
        <v>315</v>
      </c>
      <c r="I50" s="6"/>
      <c r="J50" s="6" t="s">
        <v>49</v>
      </c>
      <c r="K50" s="6"/>
      <c r="L50" s="6"/>
      <c r="M50" s="7"/>
      <c r="N50" s="6"/>
    </row>
    <row r="51" customFormat="false" ht="51" hidden="false" customHeight="true" outlineLevel="0" collapsed="false">
      <c r="A51" s="5" t="s">
        <v>316</v>
      </c>
      <c r="B51" s="5" t="s">
        <v>295</v>
      </c>
      <c r="C51" s="5" t="s">
        <v>317</v>
      </c>
      <c r="D51" s="5" t="s">
        <v>69</v>
      </c>
      <c r="E51" s="5" t="s">
        <v>318</v>
      </c>
      <c r="F51" s="5" t="s">
        <v>319</v>
      </c>
      <c r="G51" s="5" t="s">
        <v>60</v>
      </c>
      <c r="H51" s="5" t="s">
        <v>320</v>
      </c>
      <c r="I51" s="6"/>
      <c r="J51" s="6" t="s">
        <v>49</v>
      </c>
      <c r="K51" s="6"/>
      <c r="L51" s="6"/>
      <c r="M51" s="7"/>
      <c r="N51" s="6"/>
    </row>
    <row r="52" customFormat="false" ht="51" hidden="false" customHeight="true" outlineLevel="0" collapsed="false">
      <c r="A52" s="5" t="s">
        <v>321</v>
      </c>
      <c r="B52" s="5" t="s">
        <v>295</v>
      </c>
      <c r="C52" s="5" t="s">
        <v>322</v>
      </c>
      <c r="D52" s="5" t="s">
        <v>69</v>
      </c>
      <c r="E52" s="5" t="s">
        <v>323</v>
      </c>
      <c r="F52" s="5" t="s">
        <v>324</v>
      </c>
      <c r="G52" s="5" t="s">
        <v>60</v>
      </c>
      <c r="H52" s="5" t="s">
        <v>325</v>
      </c>
      <c r="I52" s="6"/>
      <c r="J52" s="6" t="s">
        <v>49</v>
      </c>
      <c r="K52" s="6"/>
      <c r="L52" s="6"/>
      <c r="M52" s="7"/>
      <c r="N52" s="6"/>
    </row>
    <row r="53" customFormat="false" ht="36" hidden="false" customHeight="true" outlineLevel="0" collapsed="false">
      <c r="A53" s="5" t="s">
        <v>326</v>
      </c>
      <c r="B53" s="5" t="s">
        <v>327</v>
      </c>
      <c r="C53" s="5" t="s">
        <v>328</v>
      </c>
      <c r="D53" s="5" t="s">
        <v>44</v>
      </c>
      <c r="E53" s="5" t="s">
        <v>60</v>
      </c>
      <c r="F53" s="5" t="s">
        <v>329</v>
      </c>
      <c r="G53" s="5" t="s">
        <v>330</v>
      </c>
      <c r="H53" s="5" t="s">
        <v>331</v>
      </c>
      <c r="I53" s="6"/>
      <c r="J53" s="6" t="s">
        <v>49</v>
      </c>
      <c r="K53" s="6"/>
      <c r="L53" s="6"/>
      <c r="M53" s="7"/>
      <c r="N53" s="6"/>
    </row>
    <row r="54" customFormat="false" ht="51" hidden="false" customHeight="true" outlineLevel="0" collapsed="false">
      <c r="A54" s="5" t="s">
        <v>332</v>
      </c>
      <c r="B54" s="5" t="s">
        <v>327</v>
      </c>
      <c r="C54" s="5" t="s">
        <v>333</v>
      </c>
      <c r="D54" s="5" t="s">
        <v>69</v>
      </c>
      <c r="E54" s="5" t="s">
        <v>60</v>
      </c>
      <c r="F54" s="5" t="s">
        <v>334</v>
      </c>
      <c r="G54" s="5" t="s">
        <v>242</v>
      </c>
      <c r="H54" s="5" t="s">
        <v>335</v>
      </c>
      <c r="I54" s="6"/>
      <c r="J54" s="6" t="s">
        <v>49</v>
      </c>
      <c r="K54" s="6"/>
      <c r="L54" s="6"/>
      <c r="M54" s="7"/>
      <c r="N54" s="6"/>
    </row>
    <row r="55" customFormat="false" ht="66" hidden="false" customHeight="true" outlineLevel="0" collapsed="false">
      <c r="A55" s="5" t="s">
        <v>336</v>
      </c>
      <c r="B55" s="5" t="s">
        <v>327</v>
      </c>
      <c r="C55" s="5" t="s">
        <v>337</v>
      </c>
      <c r="D55" s="5" t="s">
        <v>69</v>
      </c>
      <c r="E55" s="5" t="s">
        <v>60</v>
      </c>
      <c r="F55" s="5" t="s">
        <v>338</v>
      </c>
      <c r="G55" s="5" t="s">
        <v>339</v>
      </c>
      <c r="H55" s="5" t="s">
        <v>340</v>
      </c>
      <c r="I55" s="6"/>
      <c r="J55" s="6" t="s">
        <v>49</v>
      </c>
      <c r="K55" s="6"/>
      <c r="L55" s="6"/>
      <c r="M55" s="7"/>
      <c r="N55" s="6"/>
    </row>
    <row r="56" customFormat="false" ht="51" hidden="false" customHeight="true" outlineLevel="0" collapsed="false">
      <c r="A56" s="5" t="s">
        <v>341</v>
      </c>
      <c r="B56" s="5" t="s">
        <v>327</v>
      </c>
      <c r="C56" s="5" t="s">
        <v>342</v>
      </c>
      <c r="D56" s="5" t="s">
        <v>240</v>
      </c>
      <c r="E56" s="5" t="s">
        <v>60</v>
      </c>
      <c r="F56" s="5" t="s">
        <v>343</v>
      </c>
      <c r="G56" s="5" t="s">
        <v>60</v>
      </c>
      <c r="H56" s="5" t="s">
        <v>344</v>
      </c>
      <c r="I56" s="6"/>
      <c r="J56" s="6" t="s">
        <v>49</v>
      </c>
      <c r="K56" s="6"/>
      <c r="L56" s="6"/>
      <c r="M56" s="7"/>
      <c r="N56" s="6"/>
    </row>
    <row r="57" customFormat="false" ht="51" hidden="false" customHeight="true" outlineLevel="0" collapsed="false">
      <c r="A57" s="5" t="s">
        <v>345</v>
      </c>
      <c r="B57" s="5" t="s">
        <v>327</v>
      </c>
      <c r="C57" s="5" t="s">
        <v>346</v>
      </c>
      <c r="D57" s="5" t="s">
        <v>69</v>
      </c>
      <c r="E57" s="5" t="s">
        <v>60</v>
      </c>
      <c r="F57" s="5" t="s">
        <v>347</v>
      </c>
      <c r="G57" s="5" t="s">
        <v>60</v>
      </c>
      <c r="H57" s="5" t="s">
        <v>348</v>
      </c>
      <c r="I57" s="6"/>
      <c r="J57" s="6" t="s">
        <v>49</v>
      </c>
      <c r="K57" s="6"/>
      <c r="L57" s="6"/>
      <c r="M57" s="7"/>
      <c r="N57" s="6"/>
    </row>
    <row r="58" customFormat="false" ht="156" hidden="false" customHeight="true" outlineLevel="0" collapsed="false">
      <c r="A58" s="5" t="s">
        <v>349</v>
      </c>
      <c r="B58" s="5" t="s">
        <v>350</v>
      </c>
      <c r="C58" s="5" t="s">
        <v>351</v>
      </c>
      <c r="D58" s="5" t="s">
        <v>44</v>
      </c>
      <c r="E58" s="5" t="s">
        <v>352</v>
      </c>
      <c r="F58" s="5" t="s">
        <v>353</v>
      </c>
      <c r="G58" s="5" t="s">
        <v>84</v>
      </c>
      <c r="H58" s="5" t="s">
        <v>354</v>
      </c>
      <c r="I58" s="6"/>
      <c r="J58" s="6" t="s">
        <v>49</v>
      </c>
      <c r="K58" s="6"/>
      <c r="L58" s="6"/>
      <c r="M58" s="7"/>
      <c r="N58" s="6"/>
    </row>
  </sheetData>
  <autoFilter ref="A1:N58"/>
  <conditionalFormatting sqref="J2:J58">
    <cfRule type="expression" priority="2" aboveAverage="0" equalAverage="0" bottom="0" percent="0" rank="0" text="" dxfId="4">
      <formula>$J2="Pass"</formula>
    </cfRule>
    <cfRule type="expression" priority="3" aboveAverage="0" equalAverage="0" bottom="0" percent="0" rank="0" text="" dxfId="5">
      <formula>$J2="Fail"</formula>
    </cfRule>
    <cfRule type="expression" priority="4" aboveAverage="0" equalAverage="0" bottom="0" percent="0" rank="0" text="" dxfId="6">
      <formula>$J2="Blocked"</formula>
    </cfRule>
    <cfRule type="expression" priority="5" aboveAverage="0" equalAverage="0" bottom="0" percent="0" rank="0" text="" dxfId="7">
      <formula>$J2="N/A"</formula>
    </cfRule>
  </conditionalFormatting>
  <dataValidations count="1">
    <dataValidation allowBlank="true" errorStyle="stop" operator="between" showDropDown="false" showErrorMessage="false" showInputMessage="false" sqref="J2:J58" type="list">
      <formula1>"Pass,Fail,Blocked,Not run,N/A"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30"/>
    <col collapsed="false" customWidth="true" hidden="false" outlineLevel="0" max="4" min="4" style="0" width="11"/>
    <col collapsed="false" customWidth="true" hidden="false" outlineLevel="0" max="5" min="5" style="0" width="40"/>
    <col collapsed="false" customWidth="true" hidden="false" outlineLevel="0" max="7" min="6" style="0" width="30"/>
    <col collapsed="false" customWidth="true" hidden="false" outlineLevel="0" max="8" min="8" style="0" width="22"/>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14"/>
    <col collapsed="false" customWidth="true" hidden="false" outlineLevel="0" max="13" min="13" style="0" width="12"/>
    <col collapsed="false" customWidth="true" hidden="false" outlineLevel="0" max="14" min="14" style="0" width="30"/>
  </cols>
  <sheetData>
    <row r="1" customFormat="false" ht="23.85" hidden="false" customHeight="false" outlineLevel="0" collapsed="false">
      <c r="A1" s="4" t="s">
        <v>37</v>
      </c>
      <c r="B1" s="4" t="s">
        <v>355</v>
      </c>
      <c r="C1" s="4" t="s">
        <v>356</v>
      </c>
      <c r="D1" s="4" t="s">
        <v>357</v>
      </c>
      <c r="E1" s="4" t="s">
        <v>358</v>
      </c>
      <c r="F1" s="4" t="s">
        <v>359</v>
      </c>
      <c r="G1" s="4" t="s">
        <v>360</v>
      </c>
      <c r="H1" s="4" t="s">
        <v>361</v>
      </c>
      <c r="I1" s="4" t="s">
        <v>362</v>
      </c>
      <c r="J1" s="4" t="s">
        <v>363</v>
      </c>
      <c r="K1" s="4" t="s">
        <v>364</v>
      </c>
      <c r="L1" s="4" t="s">
        <v>365</v>
      </c>
      <c r="M1" s="4" t="s">
        <v>36</v>
      </c>
      <c r="N1" s="4" t="s">
        <v>366</v>
      </c>
    </row>
    <row r="2" customFormat="false" ht="15" hidden="false" customHeight="false" outlineLevel="0" collapsed="false">
      <c r="A2" s="5" t="s">
        <v>367</v>
      </c>
      <c r="B2" s="6"/>
      <c r="C2" s="6"/>
      <c r="D2" s="6"/>
      <c r="E2" s="6"/>
      <c r="F2" s="6"/>
      <c r="G2" s="6"/>
      <c r="H2" s="6"/>
      <c r="I2" s="6"/>
      <c r="J2" s="6"/>
      <c r="K2" s="7"/>
      <c r="L2" s="6"/>
      <c r="M2" s="6"/>
      <c r="N2" s="6"/>
    </row>
    <row r="3" customFormat="false" ht="15" hidden="false" customHeight="false" outlineLevel="0" collapsed="false">
      <c r="A3" s="5" t="s">
        <v>368</v>
      </c>
      <c r="B3" s="6"/>
      <c r="C3" s="6"/>
      <c r="D3" s="6"/>
      <c r="E3" s="6"/>
      <c r="F3" s="6"/>
      <c r="G3" s="6"/>
      <c r="H3" s="6"/>
      <c r="I3" s="6"/>
      <c r="J3" s="6"/>
      <c r="K3" s="7"/>
      <c r="L3" s="6"/>
      <c r="M3" s="6"/>
      <c r="N3" s="6"/>
    </row>
    <row r="4" customFormat="false" ht="15" hidden="false" customHeight="false" outlineLevel="0" collapsed="false">
      <c r="A4" s="5" t="s">
        <v>369</v>
      </c>
      <c r="B4" s="6"/>
      <c r="C4" s="6"/>
      <c r="D4" s="6"/>
      <c r="E4" s="6"/>
      <c r="F4" s="6"/>
      <c r="G4" s="6"/>
      <c r="H4" s="6"/>
      <c r="I4" s="6"/>
      <c r="J4" s="6"/>
      <c r="K4" s="7"/>
      <c r="L4" s="6"/>
      <c r="M4" s="6"/>
      <c r="N4" s="6"/>
    </row>
    <row r="5" customFormat="false" ht="15" hidden="false" customHeight="false" outlineLevel="0" collapsed="false">
      <c r="A5" s="5" t="s">
        <v>370</v>
      </c>
      <c r="B5" s="6"/>
      <c r="C5" s="6"/>
      <c r="D5" s="6"/>
      <c r="E5" s="6"/>
      <c r="F5" s="6"/>
      <c r="G5" s="6"/>
      <c r="H5" s="6"/>
      <c r="I5" s="6"/>
      <c r="J5" s="6"/>
      <c r="K5" s="7"/>
      <c r="L5" s="6"/>
      <c r="M5" s="6"/>
      <c r="N5" s="6"/>
    </row>
    <row r="6" customFormat="false" ht="15" hidden="false" customHeight="false" outlineLevel="0" collapsed="false">
      <c r="A6" s="5" t="s">
        <v>371</v>
      </c>
      <c r="B6" s="6"/>
      <c r="C6" s="6"/>
      <c r="D6" s="6"/>
      <c r="E6" s="6"/>
      <c r="F6" s="6"/>
      <c r="G6" s="6"/>
      <c r="H6" s="6"/>
      <c r="I6" s="6"/>
      <c r="J6" s="6"/>
      <c r="K6" s="7"/>
      <c r="L6" s="6"/>
      <c r="M6" s="6"/>
      <c r="N6" s="6"/>
    </row>
    <row r="7" customFormat="false" ht="15" hidden="false" customHeight="false" outlineLevel="0" collapsed="false">
      <c r="A7" s="5" t="s">
        <v>372</v>
      </c>
      <c r="B7" s="6"/>
      <c r="C7" s="6"/>
      <c r="D7" s="6"/>
      <c r="E7" s="6"/>
      <c r="F7" s="6"/>
      <c r="G7" s="6"/>
      <c r="H7" s="6"/>
      <c r="I7" s="6"/>
      <c r="J7" s="6"/>
      <c r="K7" s="7"/>
      <c r="L7" s="6"/>
      <c r="M7" s="6"/>
      <c r="N7" s="6"/>
    </row>
    <row r="8" customFormat="false" ht="15" hidden="false" customHeight="false" outlineLevel="0" collapsed="false">
      <c r="A8" s="5" t="s">
        <v>373</v>
      </c>
      <c r="B8" s="6"/>
      <c r="C8" s="6"/>
      <c r="D8" s="6"/>
      <c r="E8" s="6"/>
      <c r="F8" s="6"/>
      <c r="G8" s="6"/>
      <c r="H8" s="6"/>
      <c r="I8" s="6"/>
      <c r="J8" s="6"/>
      <c r="K8" s="7"/>
      <c r="L8" s="6"/>
      <c r="M8" s="6"/>
      <c r="N8" s="6"/>
    </row>
    <row r="9" customFormat="false" ht="15" hidden="false" customHeight="false" outlineLevel="0" collapsed="false">
      <c r="A9" s="5" t="s">
        <v>374</v>
      </c>
      <c r="B9" s="6"/>
      <c r="C9" s="6"/>
      <c r="D9" s="6"/>
      <c r="E9" s="6"/>
      <c r="F9" s="6"/>
      <c r="G9" s="6"/>
      <c r="H9" s="6"/>
      <c r="I9" s="6"/>
      <c r="J9" s="6"/>
      <c r="K9" s="7"/>
      <c r="L9" s="6"/>
      <c r="M9" s="6"/>
      <c r="N9" s="6"/>
    </row>
    <row r="10" customFormat="false" ht="15" hidden="false" customHeight="false" outlineLevel="0" collapsed="false">
      <c r="A10" s="5" t="s">
        <v>375</v>
      </c>
      <c r="B10" s="6"/>
      <c r="C10" s="6"/>
      <c r="D10" s="6"/>
      <c r="E10" s="6"/>
      <c r="F10" s="6"/>
      <c r="G10" s="6"/>
      <c r="H10" s="6"/>
      <c r="I10" s="6"/>
      <c r="J10" s="6"/>
      <c r="K10" s="7"/>
      <c r="L10" s="6"/>
      <c r="M10" s="6"/>
      <c r="N10" s="6"/>
    </row>
    <row r="11" customFormat="false" ht="15" hidden="false" customHeight="false" outlineLevel="0" collapsed="false">
      <c r="A11" s="5" t="s">
        <v>376</v>
      </c>
      <c r="B11" s="6"/>
      <c r="C11" s="6"/>
      <c r="D11" s="6"/>
      <c r="E11" s="6"/>
      <c r="F11" s="6"/>
      <c r="G11" s="6"/>
      <c r="H11" s="6"/>
      <c r="I11" s="6"/>
      <c r="J11" s="6"/>
      <c r="K11" s="7"/>
      <c r="L11" s="6"/>
      <c r="M11" s="6"/>
      <c r="N11" s="6"/>
    </row>
    <row r="12" customFormat="false" ht="15" hidden="false" customHeight="false" outlineLevel="0" collapsed="false">
      <c r="A12" s="5" t="s">
        <v>377</v>
      </c>
      <c r="B12" s="6"/>
      <c r="C12" s="6"/>
      <c r="D12" s="6"/>
      <c r="E12" s="6"/>
      <c r="F12" s="6"/>
      <c r="G12" s="6"/>
      <c r="H12" s="6"/>
      <c r="I12" s="6"/>
      <c r="J12" s="6"/>
      <c r="K12" s="7"/>
      <c r="L12" s="6"/>
      <c r="M12" s="6"/>
      <c r="N12" s="6"/>
    </row>
    <row r="13" customFormat="false" ht="15" hidden="false" customHeight="false" outlineLevel="0" collapsed="false">
      <c r="A13" s="5" t="s">
        <v>378</v>
      </c>
      <c r="B13" s="6"/>
      <c r="C13" s="6"/>
      <c r="D13" s="6"/>
      <c r="E13" s="6"/>
      <c r="F13" s="6"/>
      <c r="G13" s="6"/>
      <c r="H13" s="6"/>
      <c r="I13" s="6"/>
      <c r="J13" s="6"/>
      <c r="K13" s="7"/>
      <c r="L13" s="6"/>
      <c r="M13" s="6"/>
      <c r="N13" s="6"/>
    </row>
    <row r="14" customFormat="false" ht="15" hidden="false" customHeight="false" outlineLevel="0" collapsed="false">
      <c r="A14" s="5" t="s">
        <v>379</v>
      </c>
      <c r="B14" s="6"/>
      <c r="C14" s="6"/>
      <c r="D14" s="6"/>
      <c r="E14" s="6"/>
      <c r="F14" s="6"/>
      <c r="G14" s="6"/>
      <c r="H14" s="6"/>
      <c r="I14" s="6"/>
      <c r="J14" s="6"/>
      <c r="K14" s="7"/>
      <c r="L14" s="6"/>
      <c r="M14" s="6"/>
      <c r="N14" s="6"/>
    </row>
    <row r="15" customFormat="false" ht="15" hidden="false" customHeight="false" outlineLevel="0" collapsed="false">
      <c r="A15" s="5" t="s">
        <v>380</v>
      </c>
      <c r="B15" s="6"/>
      <c r="C15" s="6"/>
      <c r="D15" s="6"/>
      <c r="E15" s="6"/>
      <c r="F15" s="6"/>
      <c r="G15" s="6"/>
      <c r="H15" s="6"/>
      <c r="I15" s="6"/>
      <c r="J15" s="6"/>
      <c r="K15" s="7"/>
      <c r="L15" s="6"/>
      <c r="M15" s="6"/>
      <c r="N15" s="6"/>
    </row>
    <row r="16" customFormat="false" ht="15" hidden="false" customHeight="false" outlineLevel="0" collapsed="false">
      <c r="A16" s="5" t="s">
        <v>381</v>
      </c>
      <c r="B16" s="6"/>
      <c r="C16" s="6"/>
      <c r="D16" s="6"/>
      <c r="E16" s="6"/>
      <c r="F16" s="6"/>
      <c r="G16" s="6"/>
      <c r="H16" s="6"/>
      <c r="I16" s="6"/>
      <c r="J16" s="6"/>
      <c r="K16" s="7"/>
      <c r="L16" s="6"/>
      <c r="M16" s="6"/>
      <c r="N16" s="6"/>
    </row>
    <row r="17" customFormat="false" ht="15" hidden="false" customHeight="false" outlineLevel="0" collapsed="false">
      <c r="A17" s="5" t="s">
        <v>382</v>
      </c>
      <c r="B17" s="6"/>
      <c r="C17" s="6"/>
      <c r="D17" s="6"/>
      <c r="E17" s="6"/>
      <c r="F17" s="6"/>
      <c r="G17" s="6"/>
      <c r="H17" s="6"/>
      <c r="I17" s="6"/>
      <c r="J17" s="6"/>
      <c r="K17" s="7"/>
      <c r="L17" s="6"/>
      <c r="M17" s="6"/>
      <c r="N17" s="6"/>
    </row>
    <row r="18" customFormat="false" ht="15" hidden="false" customHeight="false" outlineLevel="0" collapsed="false">
      <c r="A18" s="5" t="s">
        <v>383</v>
      </c>
      <c r="B18" s="6"/>
      <c r="C18" s="6"/>
      <c r="D18" s="6"/>
      <c r="E18" s="6"/>
      <c r="F18" s="6"/>
      <c r="G18" s="6"/>
      <c r="H18" s="6"/>
      <c r="I18" s="6"/>
      <c r="J18" s="6"/>
      <c r="K18" s="7"/>
      <c r="L18" s="6"/>
      <c r="M18" s="6"/>
      <c r="N18" s="6"/>
    </row>
    <row r="19" customFormat="false" ht="15" hidden="false" customHeight="false" outlineLevel="0" collapsed="false">
      <c r="A19" s="5" t="s">
        <v>384</v>
      </c>
      <c r="B19" s="6"/>
      <c r="C19" s="6"/>
      <c r="D19" s="6"/>
      <c r="E19" s="6"/>
      <c r="F19" s="6"/>
      <c r="G19" s="6"/>
      <c r="H19" s="6"/>
      <c r="I19" s="6"/>
      <c r="J19" s="6"/>
      <c r="K19" s="7"/>
      <c r="L19" s="6"/>
      <c r="M19" s="6"/>
      <c r="N19" s="6"/>
    </row>
    <row r="20" customFormat="false" ht="15" hidden="false" customHeight="false" outlineLevel="0" collapsed="false">
      <c r="A20" s="5" t="s">
        <v>385</v>
      </c>
      <c r="B20" s="6"/>
      <c r="C20" s="6"/>
      <c r="D20" s="6"/>
      <c r="E20" s="6"/>
      <c r="F20" s="6"/>
      <c r="G20" s="6"/>
      <c r="H20" s="6"/>
      <c r="I20" s="6"/>
      <c r="J20" s="6"/>
      <c r="K20" s="7"/>
      <c r="L20" s="6"/>
      <c r="M20" s="6"/>
      <c r="N20" s="6"/>
    </row>
    <row r="21" customFormat="false" ht="15" hidden="false" customHeight="false" outlineLevel="0" collapsed="false">
      <c r="A21" s="5" t="s">
        <v>386</v>
      </c>
      <c r="B21" s="6"/>
      <c r="C21" s="6"/>
      <c r="D21" s="6"/>
      <c r="E21" s="6"/>
      <c r="F21" s="6"/>
      <c r="G21" s="6"/>
      <c r="H21" s="6"/>
      <c r="I21" s="6"/>
      <c r="J21" s="6"/>
      <c r="K21" s="7"/>
      <c r="L21" s="6"/>
      <c r="M21" s="6"/>
      <c r="N21" s="6"/>
    </row>
    <row r="22" customFormat="false" ht="15" hidden="false" customHeight="false" outlineLevel="0" collapsed="false">
      <c r="A22" s="5" t="s">
        <v>387</v>
      </c>
      <c r="B22" s="6"/>
      <c r="C22" s="6"/>
      <c r="D22" s="6"/>
      <c r="E22" s="6"/>
      <c r="F22" s="6"/>
      <c r="G22" s="6"/>
      <c r="H22" s="6"/>
      <c r="I22" s="6"/>
      <c r="J22" s="6"/>
      <c r="K22" s="7"/>
      <c r="L22" s="6"/>
      <c r="M22" s="6"/>
      <c r="N22" s="6"/>
    </row>
    <row r="23" customFormat="false" ht="15" hidden="false" customHeight="false" outlineLevel="0" collapsed="false">
      <c r="A23" s="5" t="s">
        <v>388</v>
      </c>
      <c r="B23" s="6"/>
      <c r="C23" s="6"/>
      <c r="D23" s="6"/>
      <c r="E23" s="6"/>
      <c r="F23" s="6"/>
      <c r="G23" s="6"/>
      <c r="H23" s="6"/>
      <c r="I23" s="6"/>
      <c r="J23" s="6"/>
      <c r="K23" s="7"/>
      <c r="L23" s="6"/>
      <c r="M23" s="6"/>
      <c r="N23" s="6"/>
    </row>
    <row r="24" customFormat="false" ht="15" hidden="false" customHeight="false" outlineLevel="0" collapsed="false">
      <c r="A24" s="5" t="s">
        <v>389</v>
      </c>
      <c r="B24" s="6"/>
      <c r="C24" s="6"/>
      <c r="D24" s="6"/>
      <c r="E24" s="6"/>
      <c r="F24" s="6"/>
      <c r="G24" s="6"/>
      <c r="H24" s="6"/>
      <c r="I24" s="6"/>
      <c r="J24" s="6"/>
      <c r="K24" s="7"/>
      <c r="L24" s="6"/>
      <c r="M24" s="6"/>
      <c r="N24" s="6"/>
    </row>
    <row r="25" customFormat="false" ht="15" hidden="false" customHeight="false" outlineLevel="0" collapsed="false">
      <c r="A25" s="5" t="s">
        <v>390</v>
      </c>
      <c r="B25" s="6"/>
      <c r="C25" s="6"/>
      <c r="D25" s="6"/>
      <c r="E25" s="6"/>
      <c r="F25" s="6"/>
      <c r="G25" s="6"/>
      <c r="H25" s="6"/>
      <c r="I25" s="6"/>
      <c r="J25" s="6"/>
      <c r="K25" s="7"/>
      <c r="L25" s="6"/>
      <c r="M25" s="6"/>
      <c r="N25" s="6"/>
    </row>
    <row r="26" customFormat="false" ht="15" hidden="false" customHeight="false" outlineLevel="0" collapsed="false">
      <c r="A26" s="5" t="s">
        <v>391</v>
      </c>
      <c r="B26" s="6"/>
      <c r="C26" s="6"/>
      <c r="D26" s="6"/>
      <c r="E26" s="6"/>
      <c r="F26" s="6"/>
      <c r="G26" s="6"/>
      <c r="H26" s="6"/>
      <c r="I26" s="6"/>
      <c r="J26" s="6"/>
      <c r="K26" s="7"/>
      <c r="L26" s="6"/>
      <c r="M26" s="6"/>
      <c r="N26" s="6"/>
    </row>
    <row r="27" customFormat="false" ht="15" hidden="false" customHeight="false" outlineLevel="0" collapsed="false">
      <c r="A27" s="5" t="s">
        <v>392</v>
      </c>
      <c r="B27" s="6"/>
      <c r="C27" s="6"/>
      <c r="D27" s="6"/>
      <c r="E27" s="6"/>
      <c r="F27" s="6"/>
      <c r="G27" s="6"/>
      <c r="H27" s="6"/>
      <c r="I27" s="6"/>
      <c r="J27" s="6"/>
      <c r="K27" s="7"/>
      <c r="L27" s="6"/>
      <c r="M27" s="6"/>
      <c r="N27" s="6"/>
    </row>
    <row r="28" customFormat="false" ht="15" hidden="false" customHeight="false" outlineLevel="0" collapsed="false">
      <c r="A28" s="5" t="s">
        <v>393</v>
      </c>
      <c r="B28" s="6"/>
      <c r="C28" s="6"/>
      <c r="D28" s="6"/>
      <c r="E28" s="6"/>
      <c r="F28" s="6"/>
      <c r="G28" s="6"/>
      <c r="H28" s="6"/>
      <c r="I28" s="6"/>
      <c r="J28" s="6"/>
      <c r="K28" s="7"/>
      <c r="L28" s="6"/>
      <c r="M28" s="6"/>
      <c r="N28" s="6"/>
    </row>
    <row r="29" customFormat="false" ht="15" hidden="false" customHeight="false" outlineLevel="0" collapsed="false">
      <c r="A29" s="5" t="s">
        <v>394</v>
      </c>
      <c r="B29" s="6"/>
      <c r="C29" s="6"/>
      <c r="D29" s="6"/>
      <c r="E29" s="6"/>
      <c r="F29" s="6"/>
      <c r="G29" s="6"/>
      <c r="H29" s="6"/>
      <c r="I29" s="6"/>
      <c r="J29" s="6"/>
      <c r="K29" s="7"/>
      <c r="L29" s="6"/>
      <c r="M29" s="6"/>
      <c r="N29" s="6"/>
    </row>
    <row r="30" customFormat="false" ht="15" hidden="false" customHeight="false" outlineLevel="0" collapsed="false">
      <c r="A30" s="5" t="s">
        <v>395</v>
      </c>
      <c r="B30" s="6"/>
      <c r="C30" s="6"/>
      <c r="D30" s="6"/>
      <c r="E30" s="6"/>
      <c r="F30" s="6"/>
      <c r="G30" s="6"/>
      <c r="H30" s="6"/>
      <c r="I30" s="6"/>
      <c r="J30" s="6"/>
      <c r="K30" s="7"/>
      <c r="L30" s="6"/>
      <c r="M30" s="6"/>
      <c r="N30" s="6"/>
    </row>
    <row r="31" customFormat="false" ht="15" hidden="false" customHeight="false" outlineLevel="0" collapsed="false">
      <c r="A31" s="5" t="s">
        <v>396</v>
      </c>
      <c r="B31" s="6"/>
      <c r="C31" s="6"/>
      <c r="D31" s="6"/>
      <c r="E31" s="6"/>
      <c r="F31" s="6"/>
      <c r="G31" s="6"/>
      <c r="H31" s="6"/>
      <c r="I31" s="6"/>
      <c r="J31" s="6"/>
      <c r="K31" s="7"/>
      <c r="L31" s="6"/>
      <c r="M31" s="6"/>
      <c r="N31" s="6"/>
    </row>
    <row r="32" customFormat="false" ht="15" hidden="false" customHeight="false" outlineLevel="0" collapsed="false">
      <c r="A32" s="5" t="s">
        <v>397</v>
      </c>
      <c r="B32" s="6"/>
      <c r="C32" s="6"/>
      <c r="D32" s="6"/>
      <c r="E32" s="6"/>
      <c r="F32" s="6"/>
      <c r="G32" s="6"/>
      <c r="H32" s="6"/>
      <c r="I32" s="6"/>
      <c r="J32" s="6"/>
      <c r="K32" s="7"/>
      <c r="L32" s="6"/>
      <c r="M32" s="6"/>
      <c r="N32" s="6"/>
    </row>
    <row r="33" customFormat="false" ht="15" hidden="false" customHeight="false" outlineLevel="0" collapsed="false">
      <c r="A33" s="5" t="s">
        <v>398</v>
      </c>
      <c r="B33" s="6"/>
      <c r="C33" s="6"/>
      <c r="D33" s="6"/>
      <c r="E33" s="6"/>
      <c r="F33" s="6"/>
      <c r="G33" s="6"/>
      <c r="H33" s="6"/>
      <c r="I33" s="6"/>
      <c r="J33" s="6"/>
      <c r="K33" s="7"/>
      <c r="L33" s="6"/>
      <c r="M33" s="6"/>
      <c r="N33" s="6"/>
    </row>
    <row r="34" customFormat="false" ht="15" hidden="false" customHeight="false" outlineLevel="0" collapsed="false">
      <c r="A34" s="5" t="s">
        <v>399</v>
      </c>
      <c r="B34" s="6"/>
      <c r="C34" s="6"/>
      <c r="D34" s="6"/>
      <c r="E34" s="6"/>
      <c r="F34" s="6"/>
      <c r="G34" s="6"/>
      <c r="H34" s="6"/>
      <c r="I34" s="6"/>
      <c r="J34" s="6"/>
      <c r="K34" s="7"/>
      <c r="L34" s="6"/>
      <c r="M34" s="6"/>
      <c r="N34" s="6"/>
    </row>
    <row r="35" customFormat="false" ht="15" hidden="false" customHeight="false" outlineLevel="0" collapsed="false">
      <c r="A35" s="5" t="s">
        <v>400</v>
      </c>
      <c r="B35" s="6"/>
      <c r="C35" s="6"/>
      <c r="D35" s="6"/>
      <c r="E35" s="6"/>
      <c r="F35" s="6"/>
      <c r="G35" s="6"/>
      <c r="H35" s="6"/>
      <c r="I35" s="6"/>
      <c r="J35" s="6"/>
      <c r="K35" s="7"/>
      <c r="L35" s="6"/>
      <c r="M35" s="6"/>
      <c r="N35" s="6"/>
    </row>
    <row r="36" customFormat="false" ht="15" hidden="false" customHeight="false" outlineLevel="0" collapsed="false">
      <c r="A36" s="5" t="s">
        <v>401</v>
      </c>
      <c r="B36" s="6"/>
      <c r="C36" s="6"/>
      <c r="D36" s="6"/>
      <c r="E36" s="6"/>
      <c r="F36" s="6"/>
      <c r="G36" s="6"/>
      <c r="H36" s="6"/>
      <c r="I36" s="6"/>
      <c r="J36" s="6"/>
      <c r="K36" s="7"/>
      <c r="L36" s="6"/>
      <c r="M36" s="6"/>
      <c r="N36" s="6"/>
    </row>
    <row r="37" customFormat="false" ht="15" hidden="false" customHeight="false" outlineLevel="0" collapsed="false">
      <c r="A37" s="5" t="s">
        <v>402</v>
      </c>
      <c r="B37" s="6"/>
      <c r="C37" s="6"/>
      <c r="D37" s="6"/>
      <c r="E37" s="6"/>
      <c r="F37" s="6"/>
      <c r="G37" s="6"/>
      <c r="H37" s="6"/>
      <c r="I37" s="6"/>
      <c r="J37" s="6"/>
      <c r="K37" s="7"/>
      <c r="L37" s="6"/>
      <c r="M37" s="6"/>
      <c r="N37" s="6"/>
    </row>
    <row r="38" customFormat="false" ht="15" hidden="false" customHeight="false" outlineLevel="0" collapsed="false">
      <c r="A38" s="5" t="s">
        <v>403</v>
      </c>
      <c r="B38" s="6"/>
      <c r="C38" s="6"/>
      <c r="D38" s="6"/>
      <c r="E38" s="6"/>
      <c r="F38" s="6"/>
      <c r="G38" s="6"/>
      <c r="H38" s="6"/>
      <c r="I38" s="6"/>
      <c r="J38" s="6"/>
      <c r="K38" s="7"/>
      <c r="L38" s="6"/>
      <c r="M38" s="6"/>
      <c r="N38" s="6"/>
    </row>
    <row r="39" customFormat="false" ht="15" hidden="false" customHeight="false" outlineLevel="0" collapsed="false">
      <c r="A39" s="5" t="s">
        <v>404</v>
      </c>
      <c r="B39" s="6"/>
      <c r="C39" s="6"/>
      <c r="D39" s="6"/>
      <c r="E39" s="6"/>
      <c r="F39" s="6"/>
      <c r="G39" s="6"/>
      <c r="H39" s="6"/>
      <c r="I39" s="6"/>
      <c r="J39" s="6"/>
      <c r="K39" s="7"/>
      <c r="L39" s="6"/>
      <c r="M39" s="6"/>
      <c r="N39" s="6"/>
    </row>
    <row r="40" customFormat="false" ht="15" hidden="false" customHeight="false" outlineLevel="0" collapsed="false">
      <c r="A40" s="5" t="s">
        <v>405</v>
      </c>
      <c r="B40" s="6"/>
      <c r="C40" s="6"/>
      <c r="D40" s="6"/>
      <c r="E40" s="6"/>
      <c r="F40" s="6"/>
      <c r="G40" s="6"/>
      <c r="H40" s="6"/>
      <c r="I40" s="6"/>
      <c r="J40" s="6"/>
      <c r="K40" s="7"/>
      <c r="L40" s="6"/>
      <c r="M40" s="6"/>
      <c r="N40" s="6"/>
    </row>
    <row r="41" customFormat="false" ht="15" hidden="false" customHeight="false" outlineLevel="0" collapsed="false">
      <c r="A41" s="5" t="s">
        <v>406</v>
      </c>
      <c r="B41" s="6"/>
      <c r="C41" s="6"/>
      <c r="D41" s="6"/>
      <c r="E41" s="6"/>
      <c r="F41" s="6"/>
      <c r="G41" s="6"/>
      <c r="H41" s="6"/>
      <c r="I41" s="6"/>
      <c r="J41" s="6"/>
      <c r="K41" s="7"/>
      <c r="L41" s="6"/>
      <c r="M41" s="6"/>
      <c r="N41" s="6"/>
    </row>
    <row r="42" customFormat="false" ht="15" hidden="false" customHeight="false" outlineLevel="0" collapsed="false">
      <c r="A42" s="5" t="s">
        <v>407</v>
      </c>
      <c r="B42" s="6"/>
      <c r="C42" s="6"/>
      <c r="D42" s="6"/>
      <c r="E42" s="6"/>
      <c r="F42" s="6"/>
      <c r="G42" s="6"/>
      <c r="H42" s="6"/>
      <c r="I42" s="6"/>
      <c r="J42" s="6"/>
      <c r="K42" s="7"/>
      <c r="L42" s="6"/>
      <c r="M42" s="6"/>
      <c r="N42" s="6"/>
    </row>
    <row r="43" customFormat="false" ht="15" hidden="false" customHeight="false" outlineLevel="0" collapsed="false">
      <c r="A43" s="5" t="s">
        <v>408</v>
      </c>
      <c r="B43" s="6"/>
      <c r="C43" s="6"/>
      <c r="D43" s="6"/>
      <c r="E43" s="6"/>
      <c r="F43" s="6"/>
      <c r="G43" s="6"/>
      <c r="H43" s="6"/>
      <c r="I43" s="6"/>
      <c r="J43" s="6"/>
      <c r="K43" s="7"/>
      <c r="L43" s="6"/>
      <c r="M43" s="6"/>
      <c r="N43" s="6"/>
    </row>
    <row r="44" customFormat="false" ht="15" hidden="false" customHeight="false" outlineLevel="0" collapsed="false">
      <c r="A44" s="5" t="s">
        <v>409</v>
      </c>
      <c r="B44" s="6"/>
      <c r="C44" s="6"/>
      <c r="D44" s="6"/>
      <c r="E44" s="6"/>
      <c r="F44" s="6"/>
      <c r="G44" s="6"/>
      <c r="H44" s="6"/>
      <c r="I44" s="6"/>
      <c r="J44" s="6"/>
      <c r="K44" s="7"/>
      <c r="L44" s="6"/>
      <c r="M44" s="6"/>
      <c r="N44" s="6"/>
    </row>
    <row r="45" customFormat="false" ht="15" hidden="false" customHeight="false" outlineLevel="0" collapsed="false">
      <c r="A45" s="5" t="s">
        <v>410</v>
      </c>
      <c r="B45" s="6"/>
      <c r="C45" s="6"/>
      <c r="D45" s="6"/>
      <c r="E45" s="6"/>
      <c r="F45" s="6"/>
      <c r="G45" s="6"/>
      <c r="H45" s="6"/>
      <c r="I45" s="6"/>
      <c r="J45" s="6"/>
      <c r="K45" s="7"/>
      <c r="L45" s="6"/>
      <c r="M45" s="6"/>
      <c r="N45" s="6"/>
    </row>
    <row r="46" customFormat="false" ht="15" hidden="false" customHeight="false" outlineLevel="0" collapsed="false">
      <c r="A46" s="5" t="s">
        <v>411</v>
      </c>
      <c r="B46" s="6"/>
      <c r="C46" s="6"/>
      <c r="D46" s="6"/>
      <c r="E46" s="6"/>
      <c r="F46" s="6"/>
      <c r="G46" s="6"/>
      <c r="H46" s="6"/>
      <c r="I46" s="6"/>
      <c r="J46" s="6"/>
      <c r="K46" s="7"/>
      <c r="L46" s="6"/>
      <c r="M46" s="6"/>
      <c r="N46" s="6"/>
    </row>
    <row r="47" customFormat="false" ht="15" hidden="false" customHeight="false" outlineLevel="0" collapsed="false">
      <c r="A47" s="5" t="s">
        <v>412</v>
      </c>
      <c r="B47" s="6"/>
      <c r="C47" s="6"/>
      <c r="D47" s="6"/>
      <c r="E47" s="6"/>
      <c r="F47" s="6"/>
      <c r="G47" s="6"/>
      <c r="H47" s="6"/>
      <c r="I47" s="6"/>
      <c r="J47" s="6"/>
      <c r="K47" s="7"/>
      <c r="L47" s="6"/>
      <c r="M47" s="6"/>
      <c r="N47" s="6"/>
    </row>
    <row r="48" customFormat="false" ht="15" hidden="false" customHeight="false" outlineLevel="0" collapsed="false">
      <c r="A48" s="5" t="s">
        <v>413</v>
      </c>
      <c r="B48" s="6"/>
      <c r="C48" s="6"/>
      <c r="D48" s="6"/>
      <c r="E48" s="6"/>
      <c r="F48" s="6"/>
      <c r="G48" s="6"/>
      <c r="H48" s="6"/>
      <c r="I48" s="6"/>
      <c r="J48" s="6"/>
      <c r="K48" s="7"/>
      <c r="L48" s="6"/>
      <c r="M48" s="6"/>
      <c r="N48" s="6"/>
    </row>
    <row r="49" customFormat="false" ht="15" hidden="false" customHeight="false" outlineLevel="0" collapsed="false">
      <c r="A49" s="5" t="s">
        <v>414</v>
      </c>
      <c r="B49" s="6"/>
      <c r="C49" s="6"/>
      <c r="D49" s="6"/>
      <c r="E49" s="6"/>
      <c r="F49" s="6"/>
      <c r="G49" s="6"/>
      <c r="H49" s="6"/>
      <c r="I49" s="6"/>
      <c r="J49" s="6"/>
      <c r="K49" s="7"/>
      <c r="L49" s="6"/>
      <c r="M49" s="6"/>
      <c r="N49" s="6"/>
    </row>
    <row r="50" customFormat="false" ht="15" hidden="false" customHeight="false" outlineLevel="0" collapsed="false">
      <c r="A50" s="5" t="s">
        <v>415</v>
      </c>
      <c r="B50" s="6"/>
      <c r="C50" s="6"/>
      <c r="D50" s="6"/>
      <c r="E50" s="6"/>
      <c r="F50" s="6"/>
      <c r="G50" s="6"/>
      <c r="H50" s="6"/>
      <c r="I50" s="6"/>
      <c r="J50" s="6"/>
      <c r="K50" s="7"/>
      <c r="L50" s="6"/>
      <c r="M50" s="6"/>
      <c r="N50" s="6"/>
    </row>
    <row r="51" customFormat="false" ht="15" hidden="false" customHeight="false" outlineLevel="0" collapsed="false">
      <c r="A51" s="5" t="s">
        <v>416</v>
      </c>
      <c r="B51" s="6"/>
      <c r="C51" s="6"/>
      <c r="D51" s="6"/>
      <c r="E51" s="6"/>
      <c r="F51" s="6"/>
      <c r="G51" s="6"/>
      <c r="H51" s="6"/>
      <c r="I51" s="6"/>
      <c r="J51" s="6"/>
      <c r="K51" s="7"/>
      <c r="L51" s="6"/>
      <c r="M51" s="6"/>
      <c r="N51" s="6"/>
    </row>
    <row r="52" customFormat="false" ht="15" hidden="false" customHeight="false" outlineLevel="0" collapsed="false">
      <c r="A52" s="5" t="s">
        <v>417</v>
      </c>
      <c r="B52" s="6"/>
      <c r="C52" s="6"/>
      <c r="D52" s="6"/>
      <c r="E52" s="6"/>
      <c r="F52" s="6"/>
      <c r="G52" s="6"/>
      <c r="H52" s="6"/>
      <c r="I52" s="6"/>
      <c r="J52" s="6"/>
      <c r="K52" s="7"/>
      <c r="L52" s="6"/>
      <c r="M52" s="6"/>
      <c r="N52" s="6"/>
    </row>
    <row r="53" customFormat="false" ht="15" hidden="false" customHeight="false" outlineLevel="0" collapsed="false">
      <c r="A53" s="5" t="s">
        <v>418</v>
      </c>
      <c r="B53" s="6"/>
      <c r="C53" s="6"/>
      <c r="D53" s="6"/>
      <c r="E53" s="6"/>
      <c r="F53" s="6"/>
      <c r="G53" s="6"/>
      <c r="H53" s="6"/>
      <c r="I53" s="6"/>
      <c r="J53" s="6"/>
      <c r="K53" s="7"/>
      <c r="L53" s="6"/>
      <c r="M53" s="6"/>
      <c r="N53" s="6"/>
    </row>
    <row r="54" customFormat="false" ht="15" hidden="false" customHeight="false" outlineLevel="0" collapsed="false">
      <c r="A54" s="5" t="s">
        <v>419</v>
      </c>
      <c r="B54" s="6"/>
      <c r="C54" s="6"/>
      <c r="D54" s="6"/>
      <c r="E54" s="6"/>
      <c r="F54" s="6"/>
      <c r="G54" s="6"/>
      <c r="H54" s="6"/>
      <c r="I54" s="6"/>
      <c r="J54" s="6"/>
      <c r="K54" s="7"/>
      <c r="L54" s="6"/>
      <c r="M54" s="6"/>
      <c r="N54" s="6"/>
    </row>
    <row r="55" customFormat="false" ht="15" hidden="false" customHeight="false" outlineLevel="0" collapsed="false">
      <c r="A55" s="5" t="s">
        <v>420</v>
      </c>
      <c r="B55" s="6"/>
      <c r="C55" s="6"/>
      <c r="D55" s="6"/>
      <c r="E55" s="6"/>
      <c r="F55" s="6"/>
      <c r="G55" s="6"/>
      <c r="H55" s="6"/>
      <c r="I55" s="6"/>
      <c r="J55" s="6"/>
      <c r="K55" s="7"/>
      <c r="L55" s="6"/>
      <c r="M55" s="6"/>
      <c r="N55" s="6"/>
    </row>
    <row r="56" customFormat="false" ht="15" hidden="false" customHeight="false" outlineLevel="0" collapsed="false">
      <c r="A56" s="5" t="s">
        <v>421</v>
      </c>
      <c r="B56" s="6"/>
      <c r="C56" s="6"/>
      <c r="D56" s="6"/>
      <c r="E56" s="6"/>
      <c r="F56" s="6"/>
      <c r="G56" s="6"/>
      <c r="H56" s="6"/>
      <c r="I56" s="6"/>
      <c r="J56" s="6"/>
      <c r="K56" s="7"/>
      <c r="L56" s="6"/>
      <c r="M56" s="6"/>
      <c r="N56" s="6"/>
    </row>
    <row r="57" customFormat="false" ht="15" hidden="false" customHeight="false" outlineLevel="0" collapsed="false">
      <c r="A57" s="5" t="s">
        <v>422</v>
      </c>
      <c r="B57" s="6"/>
      <c r="C57" s="6"/>
      <c r="D57" s="6"/>
      <c r="E57" s="6"/>
      <c r="F57" s="6"/>
      <c r="G57" s="6"/>
      <c r="H57" s="6"/>
      <c r="I57" s="6"/>
      <c r="J57" s="6"/>
      <c r="K57" s="7"/>
      <c r="L57" s="6"/>
      <c r="M57" s="6"/>
      <c r="N57" s="6"/>
    </row>
    <row r="58" customFormat="false" ht="15" hidden="false" customHeight="false" outlineLevel="0" collapsed="false">
      <c r="A58" s="5" t="s">
        <v>423</v>
      </c>
      <c r="B58" s="6"/>
      <c r="C58" s="6"/>
      <c r="D58" s="6"/>
      <c r="E58" s="6"/>
      <c r="F58" s="6"/>
      <c r="G58" s="6"/>
      <c r="H58" s="6"/>
      <c r="I58" s="6"/>
      <c r="J58" s="6"/>
      <c r="K58" s="7"/>
      <c r="L58" s="6"/>
      <c r="M58" s="6"/>
      <c r="N58" s="6"/>
    </row>
    <row r="59" customFormat="false" ht="15" hidden="false" customHeight="false" outlineLevel="0" collapsed="false">
      <c r="A59" s="5" t="s">
        <v>424</v>
      </c>
      <c r="B59" s="6"/>
      <c r="C59" s="6"/>
      <c r="D59" s="6"/>
      <c r="E59" s="6"/>
      <c r="F59" s="6"/>
      <c r="G59" s="6"/>
      <c r="H59" s="6"/>
      <c r="I59" s="6"/>
      <c r="J59" s="6"/>
      <c r="K59" s="7"/>
      <c r="L59" s="6"/>
      <c r="M59" s="6"/>
      <c r="N59" s="6"/>
    </row>
    <row r="60" customFormat="false" ht="15" hidden="false" customHeight="false" outlineLevel="0" collapsed="false">
      <c r="A60" s="5" t="s">
        <v>425</v>
      </c>
      <c r="B60" s="6"/>
      <c r="C60" s="6"/>
      <c r="D60" s="6"/>
      <c r="E60" s="6"/>
      <c r="F60" s="6"/>
      <c r="G60" s="6"/>
      <c r="H60" s="6"/>
      <c r="I60" s="6"/>
      <c r="J60" s="6"/>
      <c r="K60" s="7"/>
      <c r="L60" s="6"/>
      <c r="M60" s="6"/>
      <c r="N60" s="6"/>
    </row>
    <row r="61" customFormat="false" ht="15" hidden="false" customHeight="false" outlineLevel="0" collapsed="false">
      <c r="A61" s="5" t="s">
        <v>426</v>
      </c>
      <c r="B61" s="6"/>
      <c r="C61" s="6"/>
      <c r="D61" s="6"/>
      <c r="E61" s="6"/>
      <c r="F61" s="6"/>
      <c r="G61" s="6"/>
      <c r="H61" s="6"/>
      <c r="I61" s="6"/>
      <c r="J61" s="6"/>
      <c r="K61" s="7"/>
      <c r="L61" s="6"/>
      <c r="M61" s="6"/>
      <c r="N61" s="6"/>
    </row>
    <row r="62" customFormat="false" ht="15" hidden="false" customHeight="false" outlineLevel="0" collapsed="false">
      <c r="A62" s="5" t="s">
        <v>427</v>
      </c>
      <c r="B62" s="6"/>
      <c r="C62" s="6"/>
      <c r="D62" s="6"/>
      <c r="E62" s="6"/>
      <c r="F62" s="6"/>
      <c r="G62" s="6"/>
      <c r="H62" s="6"/>
      <c r="I62" s="6"/>
      <c r="J62" s="6"/>
      <c r="K62" s="7"/>
      <c r="L62" s="6"/>
      <c r="M62" s="6"/>
      <c r="N62" s="6"/>
    </row>
    <row r="63" customFormat="false" ht="15" hidden="false" customHeight="false" outlineLevel="0" collapsed="false">
      <c r="A63" s="5" t="s">
        <v>428</v>
      </c>
      <c r="B63" s="6"/>
      <c r="C63" s="6"/>
      <c r="D63" s="6"/>
      <c r="E63" s="6"/>
      <c r="F63" s="6"/>
      <c r="G63" s="6"/>
      <c r="H63" s="6"/>
      <c r="I63" s="6"/>
      <c r="J63" s="6"/>
      <c r="K63" s="7"/>
      <c r="L63" s="6"/>
      <c r="M63" s="6"/>
      <c r="N63" s="6"/>
    </row>
    <row r="64" customFormat="false" ht="15" hidden="false" customHeight="false" outlineLevel="0" collapsed="false">
      <c r="A64" s="5" t="s">
        <v>429</v>
      </c>
      <c r="B64" s="6"/>
      <c r="C64" s="6"/>
      <c r="D64" s="6"/>
      <c r="E64" s="6"/>
      <c r="F64" s="6"/>
      <c r="G64" s="6"/>
      <c r="H64" s="6"/>
      <c r="I64" s="6"/>
      <c r="J64" s="6"/>
      <c r="K64" s="7"/>
      <c r="L64" s="6"/>
      <c r="M64" s="6"/>
      <c r="N64" s="6"/>
    </row>
    <row r="65" customFormat="false" ht="15" hidden="false" customHeight="false" outlineLevel="0" collapsed="false">
      <c r="A65" s="5" t="s">
        <v>430</v>
      </c>
      <c r="B65" s="6"/>
      <c r="C65" s="6"/>
      <c r="D65" s="6"/>
      <c r="E65" s="6"/>
      <c r="F65" s="6"/>
      <c r="G65" s="6"/>
      <c r="H65" s="6"/>
      <c r="I65" s="6"/>
      <c r="J65" s="6"/>
      <c r="K65" s="7"/>
      <c r="L65" s="6"/>
      <c r="M65" s="6"/>
      <c r="N65" s="6"/>
    </row>
    <row r="66" customFormat="false" ht="15" hidden="false" customHeight="false" outlineLevel="0" collapsed="false">
      <c r="A66" s="5" t="s">
        <v>431</v>
      </c>
      <c r="B66" s="6"/>
      <c r="C66" s="6"/>
      <c r="D66" s="6"/>
      <c r="E66" s="6"/>
      <c r="F66" s="6"/>
      <c r="G66" s="6"/>
      <c r="H66" s="6"/>
      <c r="I66" s="6"/>
      <c r="J66" s="6"/>
      <c r="K66" s="7"/>
      <c r="L66" s="6"/>
      <c r="M66" s="6"/>
      <c r="N66" s="6"/>
    </row>
    <row r="67" customFormat="false" ht="15" hidden="false" customHeight="false" outlineLevel="0" collapsed="false">
      <c r="A67" s="5" t="s">
        <v>432</v>
      </c>
      <c r="B67" s="6"/>
      <c r="C67" s="6"/>
      <c r="D67" s="6"/>
      <c r="E67" s="6"/>
      <c r="F67" s="6"/>
      <c r="G67" s="6"/>
      <c r="H67" s="6"/>
      <c r="I67" s="6"/>
      <c r="J67" s="6"/>
      <c r="K67" s="7"/>
      <c r="L67" s="6"/>
      <c r="M67" s="6"/>
      <c r="N67" s="6"/>
    </row>
    <row r="68" customFormat="false" ht="15" hidden="false" customHeight="false" outlineLevel="0" collapsed="false">
      <c r="A68" s="5" t="s">
        <v>433</v>
      </c>
      <c r="B68" s="6"/>
      <c r="C68" s="6"/>
      <c r="D68" s="6"/>
      <c r="E68" s="6"/>
      <c r="F68" s="6"/>
      <c r="G68" s="6"/>
      <c r="H68" s="6"/>
      <c r="I68" s="6"/>
      <c r="J68" s="6"/>
      <c r="K68" s="7"/>
      <c r="L68" s="6"/>
      <c r="M68" s="6"/>
      <c r="N68" s="6"/>
    </row>
    <row r="69" customFormat="false" ht="15" hidden="false" customHeight="false" outlineLevel="0" collapsed="false">
      <c r="A69" s="5" t="s">
        <v>434</v>
      </c>
      <c r="B69" s="6"/>
      <c r="C69" s="6"/>
      <c r="D69" s="6"/>
      <c r="E69" s="6"/>
      <c r="F69" s="6"/>
      <c r="G69" s="6"/>
      <c r="H69" s="6"/>
      <c r="I69" s="6"/>
      <c r="J69" s="6"/>
      <c r="K69" s="7"/>
      <c r="L69" s="6"/>
      <c r="M69" s="6"/>
      <c r="N69" s="6"/>
    </row>
    <row r="70" customFormat="false" ht="15" hidden="false" customHeight="false" outlineLevel="0" collapsed="false">
      <c r="A70" s="5" t="s">
        <v>435</v>
      </c>
      <c r="B70" s="6"/>
      <c r="C70" s="6"/>
      <c r="D70" s="6"/>
      <c r="E70" s="6"/>
      <c r="F70" s="6"/>
      <c r="G70" s="6"/>
      <c r="H70" s="6"/>
      <c r="I70" s="6"/>
      <c r="J70" s="6"/>
      <c r="K70" s="7"/>
      <c r="L70" s="6"/>
      <c r="M70" s="6"/>
      <c r="N70" s="6"/>
    </row>
    <row r="71" customFormat="false" ht="15" hidden="false" customHeight="false" outlineLevel="0" collapsed="false">
      <c r="A71" s="5" t="s">
        <v>436</v>
      </c>
      <c r="B71" s="6"/>
      <c r="C71" s="6"/>
      <c r="D71" s="6"/>
      <c r="E71" s="6"/>
      <c r="F71" s="6"/>
      <c r="G71" s="6"/>
      <c r="H71" s="6"/>
      <c r="I71" s="6"/>
      <c r="J71" s="6"/>
      <c r="K71" s="7"/>
      <c r="L71" s="6"/>
      <c r="M71" s="6"/>
      <c r="N71" s="6"/>
    </row>
    <row r="72" customFormat="false" ht="15" hidden="false" customHeight="false" outlineLevel="0" collapsed="false">
      <c r="A72" s="5" t="s">
        <v>437</v>
      </c>
      <c r="B72" s="6"/>
      <c r="C72" s="6"/>
      <c r="D72" s="6"/>
      <c r="E72" s="6"/>
      <c r="F72" s="6"/>
      <c r="G72" s="6"/>
      <c r="H72" s="6"/>
      <c r="I72" s="6"/>
      <c r="J72" s="6"/>
      <c r="K72" s="7"/>
      <c r="L72" s="6"/>
      <c r="M72" s="6"/>
      <c r="N72" s="6"/>
    </row>
    <row r="73" customFormat="false" ht="15" hidden="false" customHeight="false" outlineLevel="0" collapsed="false">
      <c r="A73" s="5" t="s">
        <v>438</v>
      </c>
      <c r="B73" s="6"/>
      <c r="C73" s="6"/>
      <c r="D73" s="6"/>
      <c r="E73" s="6"/>
      <c r="F73" s="6"/>
      <c r="G73" s="6"/>
      <c r="H73" s="6"/>
      <c r="I73" s="6"/>
      <c r="J73" s="6"/>
      <c r="K73" s="7"/>
      <c r="L73" s="6"/>
      <c r="M73" s="6"/>
      <c r="N73" s="6"/>
    </row>
    <row r="74" customFormat="false" ht="15" hidden="false" customHeight="false" outlineLevel="0" collapsed="false">
      <c r="A74" s="5" t="s">
        <v>439</v>
      </c>
      <c r="B74" s="6"/>
      <c r="C74" s="6"/>
      <c r="D74" s="6"/>
      <c r="E74" s="6"/>
      <c r="F74" s="6"/>
      <c r="G74" s="6"/>
      <c r="H74" s="6"/>
      <c r="I74" s="6"/>
      <c r="J74" s="6"/>
      <c r="K74" s="7"/>
      <c r="L74" s="6"/>
      <c r="M74" s="6"/>
      <c r="N74" s="6"/>
    </row>
    <row r="75" customFormat="false" ht="15" hidden="false" customHeight="false" outlineLevel="0" collapsed="false">
      <c r="A75" s="5" t="s">
        <v>440</v>
      </c>
      <c r="B75" s="6"/>
      <c r="C75" s="6"/>
      <c r="D75" s="6"/>
      <c r="E75" s="6"/>
      <c r="F75" s="6"/>
      <c r="G75" s="6"/>
      <c r="H75" s="6"/>
      <c r="I75" s="6"/>
      <c r="J75" s="6"/>
      <c r="K75" s="7"/>
      <c r="L75" s="6"/>
      <c r="M75" s="6"/>
      <c r="N75" s="6"/>
    </row>
    <row r="76" customFormat="false" ht="15" hidden="false" customHeight="false" outlineLevel="0" collapsed="false">
      <c r="A76" s="5" t="s">
        <v>441</v>
      </c>
      <c r="B76" s="6"/>
      <c r="C76" s="6"/>
      <c r="D76" s="6"/>
      <c r="E76" s="6"/>
      <c r="F76" s="6"/>
      <c r="G76" s="6"/>
      <c r="H76" s="6"/>
      <c r="I76" s="6"/>
      <c r="J76" s="6"/>
      <c r="K76" s="7"/>
      <c r="L76" s="6"/>
      <c r="M76" s="6"/>
      <c r="N76" s="6"/>
    </row>
    <row r="77" customFormat="false" ht="15" hidden="false" customHeight="false" outlineLevel="0" collapsed="false">
      <c r="A77" s="5" t="s">
        <v>442</v>
      </c>
      <c r="B77" s="6"/>
      <c r="C77" s="6"/>
      <c r="D77" s="6"/>
      <c r="E77" s="6"/>
      <c r="F77" s="6"/>
      <c r="G77" s="6"/>
      <c r="H77" s="6"/>
      <c r="I77" s="6"/>
      <c r="J77" s="6"/>
      <c r="K77" s="7"/>
      <c r="L77" s="6"/>
      <c r="M77" s="6"/>
      <c r="N77" s="6"/>
    </row>
    <row r="78" customFormat="false" ht="15" hidden="false" customHeight="false" outlineLevel="0" collapsed="false">
      <c r="A78" s="5" t="s">
        <v>443</v>
      </c>
      <c r="B78" s="6"/>
      <c r="C78" s="6"/>
      <c r="D78" s="6"/>
      <c r="E78" s="6"/>
      <c r="F78" s="6"/>
      <c r="G78" s="6"/>
      <c r="H78" s="6"/>
      <c r="I78" s="6"/>
      <c r="J78" s="6"/>
      <c r="K78" s="7"/>
      <c r="L78" s="6"/>
      <c r="M78" s="6"/>
      <c r="N78" s="6"/>
    </row>
    <row r="79" customFormat="false" ht="15" hidden="false" customHeight="false" outlineLevel="0" collapsed="false">
      <c r="A79" s="5" t="s">
        <v>444</v>
      </c>
      <c r="B79" s="6"/>
      <c r="C79" s="6"/>
      <c r="D79" s="6"/>
      <c r="E79" s="6"/>
      <c r="F79" s="6"/>
      <c r="G79" s="6"/>
      <c r="H79" s="6"/>
      <c r="I79" s="6"/>
      <c r="J79" s="6"/>
      <c r="K79" s="7"/>
      <c r="L79" s="6"/>
      <c r="M79" s="6"/>
      <c r="N79" s="6"/>
    </row>
    <row r="80" customFormat="false" ht="15" hidden="false" customHeight="false" outlineLevel="0" collapsed="false">
      <c r="A80" s="5" t="s">
        <v>445</v>
      </c>
      <c r="B80" s="6"/>
      <c r="C80" s="6"/>
      <c r="D80" s="6"/>
      <c r="E80" s="6"/>
      <c r="F80" s="6"/>
      <c r="G80" s="6"/>
      <c r="H80" s="6"/>
      <c r="I80" s="6"/>
      <c r="J80" s="6"/>
      <c r="K80" s="7"/>
      <c r="L80" s="6"/>
      <c r="M80" s="6"/>
      <c r="N80" s="6"/>
    </row>
    <row r="81" customFormat="false" ht="15" hidden="false" customHeight="false" outlineLevel="0" collapsed="false">
      <c r="A81" s="5" t="s">
        <v>446</v>
      </c>
      <c r="B81" s="6"/>
      <c r="C81" s="6"/>
      <c r="D81" s="6"/>
      <c r="E81" s="6"/>
      <c r="F81" s="6"/>
      <c r="G81" s="6"/>
      <c r="H81" s="6"/>
      <c r="I81" s="6"/>
      <c r="J81" s="6"/>
      <c r="K81" s="7"/>
      <c r="L81" s="6"/>
      <c r="M81" s="6"/>
      <c r="N81" s="6"/>
    </row>
    <row r="82" customFormat="false" ht="15" hidden="false" customHeight="false" outlineLevel="0" collapsed="false">
      <c r="A82" s="5" t="s">
        <v>447</v>
      </c>
      <c r="B82" s="6"/>
      <c r="C82" s="6"/>
      <c r="D82" s="6"/>
      <c r="E82" s="6"/>
      <c r="F82" s="6"/>
      <c r="G82" s="6"/>
      <c r="H82" s="6"/>
      <c r="I82" s="6"/>
      <c r="J82" s="6"/>
      <c r="K82" s="7"/>
      <c r="L82" s="6"/>
      <c r="M82" s="6"/>
      <c r="N82" s="6"/>
    </row>
    <row r="83" customFormat="false" ht="15" hidden="false" customHeight="false" outlineLevel="0" collapsed="false">
      <c r="A83" s="5" t="s">
        <v>448</v>
      </c>
      <c r="B83" s="6"/>
      <c r="C83" s="6"/>
      <c r="D83" s="6"/>
      <c r="E83" s="6"/>
      <c r="F83" s="6"/>
      <c r="G83" s="6"/>
      <c r="H83" s="6"/>
      <c r="I83" s="6"/>
      <c r="J83" s="6"/>
      <c r="K83" s="7"/>
      <c r="L83" s="6"/>
      <c r="M83" s="6"/>
      <c r="N83" s="6"/>
    </row>
    <row r="84" customFormat="false" ht="15" hidden="false" customHeight="false" outlineLevel="0" collapsed="false">
      <c r="A84" s="5" t="s">
        <v>449</v>
      </c>
      <c r="B84" s="6"/>
      <c r="C84" s="6"/>
      <c r="D84" s="6"/>
      <c r="E84" s="6"/>
      <c r="F84" s="6"/>
      <c r="G84" s="6"/>
      <c r="H84" s="6"/>
      <c r="I84" s="6"/>
      <c r="J84" s="6"/>
      <c r="K84" s="7"/>
      <c r="L84" s="6"/>
      <c r="M84" s="6"/>
      <c r="N84" s="6"/>
    </row>
    <row r="85" customFormat="false" ht="15" hidden="false" customHeight="false" outlineLevel="0" collapsed="false">
      <c r="A85" s="5" t="s">
        <v>450</v>
      </c>
      <c r="B85" s="6"/>
      <c r="C85" s="6"/>
      <c r="D85" s="6"/>
      <c r="E85" s="6"/>
      <c r="F85" s="6"/>
      <c r="G85" s="6"/>
      <c r="H85" s="6"/>
      <c r="I85" s="6"/>
      <c r="J85" s="6"/>
      <c r="K85" s="7"/>
      <c r="L85" s="6"/>
      <c r="M85" s="6"/>
      <c r="N85" s="6"/>
    </row>
    <row r="86" customFormat="false" ht="15" hidden="false" customHeight="false" outlineLevel="0" collapsed="false">
      <c r="A86" s="5" t="s">
        <v>451</v>
      </c>
      <c r="B86" s="6"/>
      <c r="C86" s="6"/>
      <c r="D86" s="6"/>
      <c r="E86" s="6"/>
      <c r="F86" s="6"/>
      <c r="G86" s="6"/>
      <c r="H86" s="6"/>
      <c r="I86" s="6"/>
      <c r="J86" s="6"/>
      <c r="K86" s="7"/>
      <c r="L86" s="6"/>
      <c r="M86" s="6"/>
      <c r="N86" s="6"/>
    </row>
    <row r="87" customFormat="false" ht="15" hidden="false" customHeight="false" outlineLevel="0" collapsed="false">
      <c r="A87" s="5" t="s">
        <v>452</v>
      </c>
      <c r="B87" s="6"/>
      <c r="C87" s="6"/>
      <c r="D87" s="6"/>
      <c r="E87" s="6"/>
      <c r="F87" s="6"/>
      <c r="G87" s="6"/>
      <c r="H87" s="6"/>
      <c r="I87" s="6"/>
      <c r="J87" s="6"/>
      <c r="K87" s="7"/>
      <c r="L87" s="6"/>
      <c r="M87" s="6"/>
      <c r="N87" s="6"/>
    </row>
    <row r="88" customFormat="false" ht="15" hidden="false" customHeight="false" outlineLevel="0" collapsed="false">
      <c r="A88" s="5" t="s">
        <v>453</v>
      </c>
      <c r="B88" s="6"/>
      <c r="C88" s="6"/>
      <c r="D88" s="6"/>
      <c r="E88" s="6"/>
      <c r="F88" s="6"/>
      <c r="G88" s="6"/>
      <c r="H88" s="6"/>
      <c r="I88" s="6"/>
      <c r="J88" s="6"/>
      <c r="K88" s="7"/>
      <c r="L88" s="6"/>
      <c r="M88" s="6"/>
      <c r="N88" s="6"/>
    </row>
    <row r="89" customFormat="false" ht="15" hidden="false" customHeight="false" outlineLevel="0" collapsed="false">
      <c r="A89" s="5" t="s">
        <v>454</v>
      </c>
      <c r="B89" s="6"/>
      <c r="C89" s="6"/>
      <c r="D89" s="6"/>
      <c r="E89" s="6"/>
      <c r="F89" s="6"/>
      <c r="G89" s="6"/>
      <c r="H89" s="6"/>
      <c r="I89" s="6"/>
      <c r="J89" s="6"/>
      <c r="K89" s="7"/>
      <c r="L89" s="6"/>
      <c r="M89" s="6"/>
      <c r="N89" s="6"/>
    </row>
    <row r="90" customFormat="false" ht="15" hidden="false" customHeight="false" outlineLevel="0" collapsed="false">
      <c r="A90" s="5" t="s">
        <v>455</v>
      </c>
      <c r="B90" s="6"/>
      <c r="C90" s="6"/>
      <c r="D90" s="6"/>
      <c r="E90" s="6"/>
      <c r="F90" s="6"/>
      <c r="G90" s="6"/>
      <c r="H90" s="6"/>
      <c r="I90" s="6"/>
      <c r="J90" s="6"/>
      <c r="K90" s="7"/>
      <c r="L90" s="6"/>
      <c r="M90" s="6"/>
      <c r="N90" s="6"/>
    </row>
    <row r="91" customFormat="false" ht="15" hidden="false" customHeight="false" outlineLevel="0" collapsed="false">
      <c r="A91" s="5" t="s">
        <v>456</v>
      </c>
      <c r="B91" s="6"/>
      <c r="C91" s="6"/>
      <c r="D91" s="6"/>
      <c r="E91" s="6"/>
      <c r="F91" s="6"/>
      <c r="G91" s="6"/>
      <c r="H91" s="6"/>
      <c r="I91" s="6"/>
      <c r="J91" s="6"/>
      <c r="K91" s="7"/>
      <c r="L91" s="6"/>
      <c r="M91" s="6"/>
      <c r="N91" s="6"/>
    </row>
    <row r="92" customFormat="false" ht="15" hidden="false" customHeight="false" outlineLevel="0" collapsed="false">
      <c r="A92" s="5" t="s">
        <v>457</v>
      </c>
      <c r="B92" s="6"/>
      <c r="C92" s="6"/>
      <c r="D92" s="6"/>
      <c r="E92" s="6"/>
      <c r="F92" s="6"/>
      <c r="G92" s="6"/>
      <c r="H92" s="6"/>
      <c r="I92" s="6"/>
      <c r="J92" s="6"/>
      <c r="K92" s="7"/>
      <c r="L92" s="6"/>
      <c r="M92" s="6"/>
      <c r="N92" s="6"/>
    </row>
    <row r="93" customFormat="false" ht="15" hidden="false" customHeight="false" outlineLevel="0" collapsed="false">
      <c r="A93" s="5" t="s">
        <v>458</v>
      </c>
      <c r="B93" s="6"/>
      <c r="C93" s="6"/>
      <c r="D93" s="6"/>
      <c r="E93" s="6"/>
      <c r="F93" s="6"/>
      <c r="G93" s="6"/>
      <c r="H93" s="6"/>
      <c r="I93" s="6"/>
      <c r="J93" s="6"/>
      <c r="K93" s="7"/>
      <c r="L93" s="6"/>
      <c r="M93" s="6"/>
      <c r="N93" s="6"/>
    </row>
    <row r="94" customFormat="false" ht="15" hidden="false" customHeight="false" outlineLevel="0" collapsed="false">
      <c r="A94" s="5" t="s">
        <v>459</v>
      </c>
      <c r="B94" s="6"/>
      <c r="C94" s="6"/>
      <c r="D94" s="6"/>
      <c r="E94" s="6"/>
      <c r="F94" s="6"/>
      <c r="G94" s="6"/>
      <c r="H94" s="6"/>
      <c r="I94" s="6"/>
      <c r="J94" s="6"/>
      <c r="K94" s="7"/>
      <c r="L94" s="6"/>
      <c r="M94" s="6"/>
      <c r="N94" s="6"/>
    </row>
    <row r="95" customFormat="false" ht="15" hidden="false" customHeight="false" outlineLevel="0" collapsed="false">
      <c r="A95" s="5" t="s">
        <v>460</v>
      </c>
      <c r="B95" s="6"/>
      <c r="C95" s="6"/>
      <c r="D95" s="6"/>
      <c r="E95" s="6"/>
      <c r="F95" s="6"/>
      <c r="G95" s="6"/>
      <c r="H95" s="6"/>
      <c r="I95" s="6"/>
      <c r="J95" s="6"/>
      <c r="K95" s="7"/>
      <c r="L95" s="6"/>
      <c r="M95" s="6"/>
      <c r="N95" s="6"/>
    </row>
    <row r="96" customFormat="false" ht="15" hidden="false" customHeight="false" outlineLevel="0" collapsed="false">
      <c r="A96" s="5" t="s">
        <v>461</v>
      </c>
      <c r="B96" s="6"/>
      <c r="C96" s="6"/>
      <c r="D96" s="6"/>
      <c r="E96" s="6"/>
      <c r="F96" s="6"/>
      <c r="G96" s="6"/>
      <c r="H96" s="6"/>
      <c r="I96" s="6"/>
      <c r="J96" s="6"/>
      <c r="K96" s="7"/>
      <c r="L96" s="6"/>
      <c r="M96" s="6"/>
      <c r="N96" s="6"/>
    </row>
    <row r="97" customFormat="false" ht="15" hidden="false" customHeight="false" outlineLevel="0" collapsed="false">
      <c r="A97" s="5" t="s">
        <v>462</v>
      </c>
      <c r="B97" s="6"/>
      <c r="C97" s="6"/>
      <c r="D97" s="6"/>
      <c r="E97" s="6"/>
      <c r="F97" s="6"/>
      <c r="G97" s="6"/>
      <c r="H97" s="6"/>
      <c r="I97" s="6"/>
      <c r="J97" s="6"/>
      <c r="K97" s="7"/>
      <c r="L97" s="6"/>
      <c r="M97" s="6"/>
      <c r="N97" s="6"/>
    </row>
    <row r="98" customFormat="false" ht="15" hidden="false" customHeight="false" outlineLevel="0" collapsed="false">
      <c r="A98" s="5" t="s">
        <v>463</v>
      </c>
      <c r="B98" s="6"/>
      <c r="C98" s="6"/>
      <c r="D98" s="6"/>
      <c r="E98" s="6"/>
      <c r="F98" s="6"/>
      <c r="G98" s="6"/>
      <c r="H98" s="6"/>
      <c r="I98" s="6"/>
      <c r="J98" s="6"/>
      <c r="K98" s="7"/>
      <c r="L98" s="6"/>
      <c r="M98" s="6"/>
      <c r="N98" s="6"/>
    </row>
    <row r="99" customFormat="false" ht="15" hidden="false" customHeight="false" outlineLevel="0" collapsed="false">
      <c r="A99" s="5" t="s">
        <v>464</v>
      </c>
      <c r="B99" s="6"/>
      <c r="C99" s="6"/>
      <c r="D99" s="6"/>
      <c r="E99" s="6"/>
      <c r="F99" s="6"/>
      <c r="G99" s="6"/>
      <c r="H99" s="6"/>
      <c r="I99" s="6"/>
      <c r="J99" s="6"/>
      <c r="K99" s="7"/>
      <c r="L99" s="6"/>
      <c r="M99" s="6"/>
      <c r="N99" s="6"/>
    </row>
    <row r="100" customFormat="false" ht="15" hidden="false" customHeight="false" outlineLevel="0" collapsed="false">
      <c r="A100" s="5" t="s">
        <v>465</v>
      </c>
      <c r="B100" s="6"/>
      <c r="C100" s="6"/>
      <c r="D100" s="6"/>
      <c r="E100" s="6"/>
      <c r="F100" s="6"/>
      <c r="G100" s="6"/>
      <c r="H100" s="6"/>
      <c r="I100" s="6"/>
      <c r="J100" s="6"/>
      <c r="K100" s="7"/>
      <c r="L100" s="6"/>
      <c r="M100" s="6"/>
      <c r="N100" s="6"/>
    </row>
    <row r="101" customFormat="false" ht="15" hidden="false" customHeight="false" outlineLevel="0" collapsed="false">
      <c r="A101" s="5" t="s">
        <v>466</v>
      </c>
      <c r="B101" s="6"/>
      <c r="C101" s="6"/>
      <c r="D101" s="6"/>
      <c r="E101" s="6"/>
      <c r="F101" s="6"/>
      <c r="G101" s="6"/>
      <c r="H101" s="6"/>
      <c r="I101" s="6"/>
      <c r="J101" s="6"/>
      <c r="K101" s="7"/>
      <c r="L101" s="6"/>
      <c r="M101" s="6"/>
      <c r="N101" s="6"/>
    </row>
  </sheetData>
  <autoFilter ref="A1:N101"/>
  <dataValidations count="2">
    <dataValidation allowBlank="true" errorStyle="stop" operator="between" showDropDown="false" showErrorMessage="false" showInputMessage="false" sqref="D2:D101" type="list">
      <formula1>"Critical,High,Medium,Low"</formula1>
      <formula2>0</formula2>
    </dataValidation>
    <dataValidation allowBlank="true" errorStyle="stop" operator="between" showDropDown="false" showErrorMessage="false" showInputMessage="false" sqref="M2:M101" type="list">
      <formula1>"Open,In progress,Fixed – retest,Closed,Rejected,Deferred"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9" min="2" style="0" width="14"/>
  </cols>
  <sheetData>
    <row r="1" customFormat="false" ht="15" hidden="false" customHeight="false" outlineLevel="0" collapsed="false">
      <c r="A1" s="4" t="s">
        <v>28</v>
      </c>
      <c r="B1" s="4" t="s">
        <v>467</v>
      </c>
      <c r="C1" s="4" t="s">
        <v>468</v>
      </c>
      <c r="D1" s="4" t="s">
        <v>469</v>
      </c>
      <c r="E1" s="4" t="s">
        <v>470</v>
      </c>
      <c r="F1" s="4" t="s">
        <v>49</v>
      </c>
      <c r="G1" s="4" t="s">
        <v>471</v>
      </c>
      <c r="H1" s="4" t="s">
        <v>472</v>
      </c>
      <c r="I1" s="4" t="s">
        <v>473</v>
      </c>
    </row>
    <row r="2" customFormat="false" ht="15" hidden="false" customHeight="false" outlineLevel="0" collapsed="false">
      <c r="A2" s="8" t="s">
        <v>42</v>
      </c>
      <c r="B2" s="8" t="n">
        <f aca="false">COUNTIF('Test cases'!$B$2:$B$58,A2)</f>
        <v>6</v>
      </c>
      <c r="C2" s="8" t="n">
        <f aca="false">COUNTIFS('Test cases'!$B$2:$B$58,$A2,'Test cases'!$J$2:$J$58,"Pass")</f>
        <v>0</v>
      </c>
      <c r="D2" s="8" t="n">
        <f aca="false">COUNTIFS('Test cases'!$B$2:$B$58,$A2,'Test cases'!$J$2:$J$58,"Fail")</f>
        <v>0</v>
      </c>
      <c r="E2" s="8" t="n">
        <f aca="false">COUNTIFS('Test cases'!$B$2:$B$58,$A2,'Test cases'!$J$2:$J$58,"Blocked")</f>
        <v>0</v>
      </c>
      <c r="F2" s="8" t="n">
        <f aca="false">COUNTIFS('Test cases'!$B$2:$B$58,$A2,'Test cases'!$J$2:$J$58,"Not run")</f>
        <v>6</v>
      </c>
      <c r="G2" s="8" t="n">
        <f aca="false">COUNTIFS('Test cases'!$B$2:$B$58,$A2,'Test cases'!$J$2:$J$58,"N/A")</f>
        <v>0</v>
      </c>
      <c r="H2" s="9" t="n">
        <f aca="false">IF((B2-G2)=0,0,(C2+D2+E2)/(B2-G2))</f>
        <v>0</v>
      </c>
      <c r="I2" s="9" t="n">
        <f aca="false">IF((C2+D2)=0,0,C2/(C2+D2))</f>
        <v>0</v>
      </c>
    </row>
    <row r="3" customFormat="false" ht="15" hidden="false" customHeight="false" outlineLevel="0" collapsed="false">
      <c r="A3" s="8" t="s">
        <v>80</v>
      </c>
      <c r="B3" s="8" t="n">
        <f aca="false">COUNTIF('Test cases'!$B$2:$B$58,A3)</f>
        <v>8</v>
      </c>
      <c r="C3" s="8" t="n">
        <f aca="false">COUNTIFS('Test cases'!$B$2:$B$58,$A3,'Test cases'!$J$2:$J$58,"Pass")</f>
        <v>0</v>
      </c>
      <c r="D3" s="8" t="n">
        <f aca="false">COUNTIFS('Test cases'!$B$2:$B$58,$A3,'Test cases'!$J$2:$J$58,"Fail")</f>
        <v>0</v>
      </c>
      <c r="E3" s="8" t="n">
        <f aca="false">COUNTIFS('Test cases'!$B$2:$B$58,$A3,'Test cases'!$J$2:$J$58,"Blocked")</f>
        <v>0</v>
      </c>
      <c r="F3" s="8" t="n">
        <f aca="false">COUNTIFS('Test cases'!$B$2:$B$58,$A3,'Test cases'!$J$2:$J$58,"Not run")</f>
        <v>8</v>
      </c>
      <c r="G3" s="8" t="n">
        <f aca="false">COUNTIFS('Test cases'!$B$2:$B$58,$A3,'Test cases'!$J$2:$J$58,"N/A")</f>
        <v>0</v>
      </c>
      <c r="H3" s="9" t="n">
        <f aca="false">IF((B3-G3)=0,0,(C3+D3+E3)/(B3-G3))</f>
        <v>0</v>
      </c>
      <c r="I3" s="9" t="n">
        <f aca="false">IF((C3+D3)=0,0,C3/(C3+D3))</f>
        <v>0</v>
      </c>
    </row>
    <row r="4" customFormat="false" ht="15" hidden="false" customHeight="false" outlineLevel="0" collapsed="false">
      <c r="A4" s="8" t="s">
        <v>126</v>
      </c>
      <c r="B4" s="8" t="n">
        <f aca="false">COUNTIF('Test cases'!$B$2:$B$58,A4)</f>
        <v>4</v>
      </c>
      <c r="C4" s="8" t="n">
        <f aca="false">COUNTIFS('Test cases'!$B$2:$B$58,$A4,'Test cases'!$J$2:$J$58,"Pass")</f>
        <v>0</v>
      </c>
      <c r="D4" s="8" t="n">
        <f aca="false">COUNTIFS('Test cases'!$B$2:$B$58,$A4,'Test cases'!$J$2:$J$58,"Fail")</f>
        <v>0</v>
      </c>
      <c r="E4" s="8" t="n">
        <f aca="false">COUNTIFS('Test cases'!$B$2:$B$58,$A4,'Test cases'!$J$2:$J$58,"Blocked")</f>
        <v>0</v>
      </c>
      <c r="F4" s="8" t="n">
        <f aca="false">COUNTIFS('Test cases'!$B$2:$B$58,$A4,'Test cases'!$J$2:$J$58,"Not run")</f>
        <v>4</v>
      </c>
      <c r="G4" s="8" t="n">
        <f aca="false">COUNTIFS('Test cases'!$B$2:$B$58,$A4,'Test cases'!$J$2:$J$58,"N/A")</f>
        <v>0</v>
      </c>
      <c r="H4" s="9" t="n">
        <f aca="false">IF((B4-G4)=0,0,(C4+D4+E4)/(B4-G4))</f>
        <v>0</v>
      </c>
      <c r="I4" s="9" t="n">
        <f aca="false">IF((C4+D4)=0,0,C4/(C4+D4))</f>
        <v>0</v>
      </c>
    </row>
    <row r="5" customFormat="false" ht="15" hidden="false" customHeight="false" outlineLevel="0" collapsed="false">
      <c r="A5" s="8" t="s">
        <v>151</v>
      </c>
      <c r="B5" s="8" t="n">
        <f aca="false">COUNTIF('Test cases'!$B$2:$B$58,A5)</f>
        <v>11</v>
      </c>
      <c r="C5" s="8" t="n">
        <f aca="false">COUNTIFS('Test cases'!$B$2:$B$58,$A5,'Test cases'!$J$2:$J$58,"Pass")</f>
        <v>0</v>
      </c>
      <c r="D5" s="8" t="n">
        <f aca="false">COUNTIFS('Test cases'!$B$2:$B$58,$A5,'Test cases'!$J$2:$J$58,"Fail")</f>
        <v>0</v>
      </c>
      <c r="E5" s="8" t="n">
        <f aca="false">COUNTIFS('Test cases'!$B$2:$B$58,$A5,'Test cases'!$J$2:$J$58,"Blocked")</f>
        <v>0</v>
      </c>
      <c r="F5" s="8" t="n">
        <f aca="false">COUNTIFS('Test cases'!$B$2:$B$58,$A5,'Test cases'!$J$2:$J$58,"Not run")</f>
        <v>11</v>
      </c>
      <c r="G5" s="8" t="n">
        <f aca="false">COUNTIFS('Test cases'!$B$2:$B$58,$A5,'Test cases'!$J$2:$J$58,"N/A")</f>
        <v>0</v>
      </c>
      <c r="H5" s="9" t="n">
        <f aca="false">IF((B5-G5)=0,0,(C5+D5+E5)/(B5-G5))</f>
        <v>0</v>
      </c>
      <c r="I5" s="9" t="n">
        <f aca="false">IF((C5+D5)=0,0,C5/(C5+D5))</f>
        <v>0</v>
      </c>
    </row>
    <row r="6" customFormat="false" ht="15" hidden="false" customHeight="false" outlineLevel="0" collapsed="false">
      <c r="A6" s="8" t="s">
        <v>211</v>
      </c>
      <c r="B6" s="8" t="n">
        <f aca="false">COUNTIF('Test cases'!$B$2:$B$58,A6)</f>
        <v>6</v>
      </c>
      <c r="C6" s="8" t="n">
        <f aca="false">COUNTIFS('Test cases'!$B$2:$B$58,$A6,'Test cases'!$J$2:$J$58,"Pass")</f>
        <v>0</v>
      </c>
      <c r="D6" s="8" t="n">
        <f aca="false">COUNTIFS('Test cases'!$B$2:$B$58,$A6,'Test cases'!$J$2:$J$58,"Fail")</f>
        <v>0</v>
      </c>
      <c r="E6" s="8" t="n">
        <f aca="false">COUNTIFS('Test cases'!$B$2:$B$58,$A6,'Test cases'!$J$2:$J$58,"Blocked")</f>
        <v>0</v>
      </c>
      <c r="F6" s="8" t="n">
        <f aca="false">COUNTIFS('Test cases'!$B$2:$B$58,$A6,'Test cases'!$J$2:$J$58,"Not run")</f>
        <v>6</v>
      </c>
      <c r="G6" s="8" t="n">
        <f aca="false">COUNTIFS('Test cases'!$B$2:$B$58,$A6,'Test cases'!$J$2:$J$58,"N/A")</f>
        <v>0</v>
      </c>
      <c r="H6" s="9" t="n">
        <f aca="false">IF((B6-G6)=0,0,(C6+D6+E6)/(B6-G6))</f>
        <v>0</v>
      </c>
      <c r="I6" s="9" t="n">
        <f aca="false">IF((C6+D6)=0,0,C6/(C6+D6))</f>
        <v>0</v>
      </c>
    </row>
    <row r="7" customFormat="false" ht="15" hidden="false" customHeight="false" outlineLevel="0" collapsed="false">
      <c r="A7" s="8" t="s">
        <v>245</v>
      </c>
      <c r="B7" s="8" t="n">
        <f aca="false">COUNTIF('Test cases'!$B$2:$B$58,A7)</f>
        <v>6</v>
      </c>
      <c r="C7" s="8" t="n">
        <f aca="false">COUNTIFS('Test cases'!$B$2:$B$58,$A7,'Test cases'!$J$2:$J$58,"Pass")</f>
        <v>0</v>
      </c>
      <c r="D7" s="8" t="n">
        <f aca="false">COUNTIFS('Test cases'!$B$2:$B$58,$A7,'Test cases'!$J$2:$J$58,"Fail")</f>
        <v>0</v>
      </c>
      <c r="E7" s="8" t="n">
        <f aca="false">COUNTIFS('Test cases'!$B$2:$B$58,$A7,'Test cases'!$J$2:$J$58,"Blocked")</f>
        <v>0</v>
      </c>
      <c r="F7" s="8" t="n">
        <f aca="false">COUNTIFS('Test cases'!$B$2:$B$58,$A7,'Test cases'!$J$2:$J$58,"Not run")</f>
        <v>6</v>
      </c>
      <c r="G7" s="8" t="n">
        <f aca="false">COUNTIFS('Test cases'!$B$2:$B$58,$A7,'Test cases'!$J$2:$J$58,"N/A")</f>
        <v>0</v>
      </c>
      <c r="H7" s="9" t="n">
        <f aca="false">IF((B7-G7)=0,0,(C7+D7+E7)/(B7-G7))</f>
        <v>0</v>
      </c>
      <c r="I7" s="9" t="n">
        <f aca="false">IF((C7+D7)=0,0,C7/(C7+D7))</f>
        <v>0</v>
      </c>
    </row>
    <row r="8" customFormat="false" ht="15" hidden="false" customHeight="false" outlineLevel="0" collapsed="false">
      <c r="A8" s="8" t="s">
        <v>274</v>
      </c>
      <c r="B8" s="8" t="n">
        <f aca="false">COUNTIF('Test cases'!$B$2:$B$58,A8)</f>
        <v>4</v>
      </c>
      <c r="C8" s="8" t="n">
        <f aca="false">COUNTIFS('Test cases'!$B$2:$B$58,$A8,'Test cases'!$J$2:$J$58,"Pass")</f>
        <v>0</v>
      </c>
      <c r="D8" s="8" t="n">
        <f aca="false">COUNTIFS('Test cases'!$B$2:$B$58,$A8,'Test cases'!$J$2:$J$58,"Fail")</f>
        <v>0</v>
      </c>
      <c r="E8" s="8" t="n">
        <f aca="false">COUNTIFS('Test cases'!$B$2:$B$58,$A8,'Test cases'!$J$2:$J$58,"Blocked")</f>
        <v>0</v>
      </c>
      <c r="F8" s="8" t="n">
        <f aca="false">COUNTIFS('Test cases'!$B$2:$B$58,$A8,'Test cases'!$J$2:$J$58,"Not run")</f>
        <v>4</v>
      </c>
      <c r="G8" s="8" t="n">
        <f aca="false">COUNTIFS('Test cases'!$B$2:$B$58,$A8,'Test cases'!$J$2:$J$58,"N/A")</f>
        <v>0</v>
      </c>
      <c r="H8" s="9" t="n">
        <f aca="false">IF((B8-G8)=0,0,(C8+D8+E8)/(B8-G8))</f>
        <v>0</v>
      </c>
      <c r="I8" s="9" t="n">
        <f aca="false">IF((C8+D8)=0,0,C8/(C8+D8))</f>
        <v>0</v>
      </c>
    </row>
    <row r="9" customFormat="false" ht="15" hidden="false" customHeight="false" outlineLevel="0" collapsed="false">
      <c r="A9" s="8" t="s">
        <v>295</v>
      </c>
      <c r="B9" s="8" t="n">
        <f aca="false">COUNTIF('Test cases'!$B$2:$B$58,A9)</f>
        <v>6</v>
      </c>
      <c r="C9" s="8" t="n">
        <f aca="false">COUNTIFS('Test cases'!$B$2:$B$58,$A9,'Test cases'!$J$2:$J$58,"Pass")</f>
        <v>0</v>
      </c>
      <c r="D9" s="8" t="n">
        <f aca="false">COUNTIFS('Test cases'!$B$2:$B$58,$A9,'Test cases'!$J$2:$J$58,"Fail")</f>
        <v>0</v>
      </c>
      <c r="E9" s="8" t="n">
        <f aca="false">COUNTIFS('Test cases'!$B$2:$B$58,$A9,'Test cases'!$J$2:$J$58,"Blocked")</f>
        <v>0</v>
      </c>
      <c r="F9" s="8" t="n">
        <f aca="false">COUNTIFS('Test cases'!$B$2:$B$58,$A9,'Test cases'!$J$2:$J$58,"Not run")</f>
        <v>6</v>
      </c>
      <c r="G9" s="8" t="n">
        <f aca="false">COUNTIFS('Test cases'!$B$2:$B$58,$A9,'Test cases'!$J$2:$J$58,"N/A")</f>
        <v>0</v>
      </c>
      <c r="H9" s="9" t="n">
        <f aca="false">IF((B9-G9)=0,0,(C9+D9+E9)/(B9-G9))</f>
        <v>0</v>
      </c>
      <c r="I9" s="9" t="n">
        <f aca="false">IF((C9+D9)=0,0,C9/(C9+D9))</f>
        <v>0</v>
      </c>
    </row>
    <row r="10" customFormat="false" ht="15" hidden="false" customHeight="false" outlineLevel="0" collapsed="false">
      <c r="A10" s="8" t="s">
        <v>327</v>
      </c>
      <c r="B10" s="8" t="n">
        <f aca="false">COUNTIF('Test cases'!$B$2:$B$58,A10)</f>
        <v>5</v>
      </c>
      <c r="C10" s="8" t="n">
        <f aca="false">COUNTIFS('Test cases'!$B$2:$B$58,$A10,'Test cases'!$J$2:$J$58,"Pass")</f>
        <v>0</v>
      </c>
      <c r="D10" s="8" t="n">
        <f aca="false">COUNTIFS('Test cases'!$B$2:$B$58,$A10,'Test cases'!$J$2:$J$58,"Fail")</f>
        <v>0</v>
      </c>
      <c r="E10" s="8" t="n">
        <f aca="false">COUNTIFS('Test cases'!$B$2:$B$58,$A10,'Test cases'!$J$2:$J$58,"Blocked")</f>
        <v>0</v>
      </c>
      <c r="F10" s="8" t="n">
        <f aca="false">COUNTIFS('Test cases'!$B$2:$B$58,$A10,'Test cases'!$J$2:$J$58,"Not run")</f>
        <v>5</v>
      </c>
      <c r="G10" s="8" t="n">
        <f aca="false">COUNTIFS('Test cases'!$B$2:$B$58,$A10,'Test cases'!$J$2:$J$58,"N/A")</f>
        <v>0</v>
      </c>
      <c r="H10" s="9" t="n">
        <f aca="false">IF((B10-G10)=0,0,(C10+D10+E10)/(B10-G10))</f>
        <v>0</v>
      </c>
      <c r="I10" s="9" t="n">
        <f aca="false">IF((C10+D10)=0,0,C10/(C10+D10))</f>
        <v>0</v>
      </c>
    </row>
    <row r="11" customFormat="false" ht="15" hidden="false" customHeight="false" outlineLevel="0" collapsed="false">
      <c r="A11" s="8" t="s">
        <v>350</v>
      </c>
      <c r="B11" s="8" t="n">
        <f aca="false">COUNTIF('Test cases'!$B$2:$B$58,A11)</f>
        <v>1</v>
      </c>
      <c r="C11" s="8" t="n">
        <f aca="false">COUNTIFS('Test cases'!$B$2:$B$58,$A11,'Test cases'!$J$2:$J$58,"Pass")</f>
        <v>0</v>
      </c>
      <c r="D11" s="8" t="n">
        <f aca="false">COUNTIFS('Test cases'!$B$2:$B$58,$A11,'Test cases'!$J$2:$J$58,"Fail")</f>
        <v>0</v>
      </c>
      <c r="E11" s="8" t="n">
        <f aca="false">COUNTIFS('Test cases'!$B$2:$B$58,$A11,'Test cases'!$J$2:$J$58,"Blocked")</f>
        <v>0</v>
      </c>
      <c r="F11" s="8" t="n">
        <f aca="false">COUNTIFS('Test cases'!$B$2:$B$58,$A11,'Test cases'!$J$2:$J$58,"Not run")</f>
        <v>1</v>
      </c>
      <c r="G11" s="8" t="n">
        <f aca="false">COUNTIFS('Test cases'!$B$2:$B$58,$A11,'Test cases'!$J$2:$J$58,"N/A")</f>
        <v>0</v>
      </c>
      <c r="H11" s="9" t="n">
        <f aca="false">IF((B11-G11)=0,0,(C11+D11+E11)/(B11-G11))</f>
        <v>0</v>
      </c>
      <c r="I11" s="9" t="n">
        <f aca="false">IF((C11+D11)=0,0,C11/(C11+D11))</f>
        <v>0</v>
      </c>
    </row>
    <row r="12" customFormat="false" ht="15" hidden="false" customHeight="false" outlineLevel="0" collapsed="false">
      <c r="A12" s="10" t="s">
        <v>467</v>
      </c>
      <c r="B12" s="10" t="n">
        <f aca="false">SUM(B2:B11)</f>
        <v>57</v>
      </c>
      <c r="C12" s="10" t="n">
        <f aca="false">SUM(C2:C11)</f>
        <v>0</v>
      </c>
      <c r="D12" s="10" t="n">
        <f aca="false">SUM(D2:D11)</f>
        <v>0</v>
      </c>
      <c r="E12" s="10" t="n">
        <f aca="false">SUM(E2:E11)</f>
        <v>0</v>
      </c>
      <c r="F12" s="10" t="n">
        <f aca="false">SUM(F2:F11)</f>
        <v>57</v>
      </c>
      <c r="G12" s="10" t="n">
        <f aca="false">SUM(G2:G11)</f>
        <v>0</v>
      </c>
      <c r="H12" s="11" t="n">
        <f aca="false">IF((B12-G12)=0,0,(C12+D12+E12)/(B12-G12))</f>
        <v>0</v>
      </c>
      <c r="I12" s="11" t="n">
        <f aca="false">IF((C12+D12)=0,0,C12/(C12+D12))</f>
        <v>0</v>
      </c>
    </row>
    <row r="14" customFormat="false" ht="15" hidden="false" customHeight="false" outlineLevel="0" collapsed="false">
      <c r="A14" s="12" t="s">
        <v>474</v>
      </c>
      <c r="B14" s="13"/>
    </row>
    <row r="15" customFormat="false" ht="15" hidden="false" customHeight="false" outlineLevel="0" collapsed="false">
      <c r="A15" s="13" t="s">
        <v>475</v>
      </c>
      <c r="B15" s="13" t="n">
        <f aca="false">COUNTIF('Test cases'!$D$2:$D$58,"High")</f>
        <v>34</v>
      </c>
    </row>
    <row r="16" customFormat="false" ht="15" hidden="false" customHeight="false" outlineLevel="0" collapsed="false">
      <c r="A16" s="13" t="s">
        <v>476</v>
      </c>
      <c r="B16" s="13" t="n">
        <f aca="false">COUNTIFS('Test cases'!$D$2:$D$58,"High",'Test cases'!$J$2:$J$58,"Pass")+COUNTIFS('Test cases'!$D$2:$D$58,"High",'Test cases'!$J$2:$J$58,"Fail")+COUNTIFS('Test cases'!$D$2:$D$58,"High",'Test cases'!$J$2:$J$58,"Blocked")</f>
        <v>0</v>
      </c>
    </row>
    <row r="17" customFormat="false" ht="15" hidden="false" customHeight="false" outlineLevel="0" collapsed="false">
      <c r="A17" s="13" t="s">
        <v>477</v>
      </c>
      <c r="B17" s="14" t="n">
        <f aca="false">IF(B15=0,0,B16/B15)</f>
        <v>0</v>
      </c>
    </row>
    <row r="18" customFormat="false" ht="15" hidden="false" customHeight="false" outlineLevel="0" collapsed="false">
      <c r="A18" s="13"/>
      <c r="B18" s="13"/>
    </row>
    <row r="19" customFormat="false" ht="15" hidden="false" customHeight="false" outlineLevel="0" collapsed="false">
      <c r="A19" s="12" t="s">
        <v>478</v>
      </c>
      <c r="B19" s="13"/>
    </row>
    <row r="20" customFormat="false" ht="15" hidden="false" customHeight="false" outlineLevel="0" collapsed="false">
      <c r="A20" s="13" t="s">
        <v>479</v>
      </c>
      <c r="B20" s="13" t="n">
        <f aca="false">COUNTIFS('Defect log'!$D$2:$D$101,"Critical",'Defect log'!$M$2:$M$101,"&lt;&gt;Closed",'Defect log'!$M$2:$M$101,"&lt;&gt;Rejected")</f>
        <v>0</v>
      </c>
    </row>
    <row r="21" customFormat="false" ht="15" hidden="false" customHeight="false" outlineLevel="0" collapsed="false">
      <c r="A21" s="13" t="s">
        <v>44</v>
      </c>
      <c r="B21" s="13" t="n">
        <f aca="false">COUNTIFS('Defect log'!$D$2:$D$101,"High",'Defect log'!$M$2:$M$101,"&lt;&gt;Closed",'Defect log'!$M$2:$M$101,"&lt;&gt;Rejected")</f>
        <v>0</v>
      </c>
    </row>
    <row r="22" customFormat="false" ht="15" hidden="false" customHeight="false" outlineLevel="0" collapsed="false">
      <c r="A22" s="13" t="s">
        <v>69</v>
      </c>
      <c r="B22" s="13" t="n">
        <f aca="false">COUNTIFS('Defect log'!$D$2:$D$101,"Medium",'Defect log'!$M$2:$M$101,"&lt;&gt;Closed",'Defect log'!$M$2:$M$101,"&lt;&gt;Rejected")</f>
        <v>0</v>
      </c>
    </row>
    <row r="23" customFormat="false" ht="15" hidden="false" customHeight="false" outlineLevel="0" collapsed="false">
      <c r="A23" s="13" t="s">
        <v>240</v>
      </c>
      <c r="B23" s="13" t="n">
        <f aca="false">COUNTIFS('Defect log'!$D$2:$D$101,"Low",'Defect log'!$M$2:$M$101,"&lt;&gt;Closed",'Defect log'!$M$2:$M$101,"&lt;&gt;Rejected")</f>
        <v>0</v>
      </c>
    </row>
    <row r="24" customFormat="false" ht="15" hidden="false" customHeight="false" outlineLevel="0" collapsed="false">
      <c r="A24" s="13"/>
      <c r="B24" s="13"/>
    </row>
    <row r="25" customFormat="false" ht="15" hidden="false" customHeight="false" outlineLevel="0" collapsed="false">
      <c r="A25" s="12" t="s">
        <v>480</v>
      </c>
      <c r="B25" s="13" t="str">
        <f aca="false">IF(AND(B17=1,B20=0,B21=0),"Yes","No")</f>
        <v>No</v>
      </c>
    </row>
    <row r="26" customFormat="false" ht="15" hidden="false" customHeight="false" outlineLevel="0" collapsed="false">
      <c r="A26" s="15" t="s">
        <v>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30"/>
    <col collapsed="false" customWidth="true" hidden="false" outlineLevel="0" max="4" min="4" style="0" width="44"/>
    <col collapsed="false" customWidth="true" hidden="false" outlineLevel="0" max="5" min="5" style="0" width="18"/>
    <col collapsed="false" customWidth="true" hidden="false" outlineLevel="0" max="6" min="6" style="0" width="14"/>
  </cols>
  <sheetData>
    <row r="1" customFormat="false" ht="30" hidden="false" customHeight="true" outlineLevel="0" collapsed="false">
      <c r="A1" s="4" t="s">
        <v>482</v>
      </c>
      <c r="B1" s="4" t="s">
        <v>483</v>
      </c>
      <c r="C1" s="4" t="s">
        <v>484</v>
      </c>
      <c r="D1" s="4" t="s">
        <v>485</v>
      </c>
      <c r="E1" s="4" t="s">
        <v>486</v>
      </c>
      <c r="F1" s="4" t="s">
        <v>9</v>
      </c>
    </row>
    <row r="2" customFormat="false" ht="30" hidden="false" customHeight="true" outlineLevel="0" collapsed="false">
      <c r="A2" s="5" t="s">
        <v>487</v>
      </c>
      <c r="B2" s="6"/>
      <c r="C2" s="6"/>
      <c r="D2" s="6"/>
      <c r="E2" s="6"/>
      <c r="F2" s="6"/>
    </row>
    <row r="3" customFormat="false" ht="30" hidden="false" customHeight="true" outlineLevel="0" collapsed="false">
      <c r="A3" s="5" t="s">
        <v>488</v>
      </c>
      <c r="B3" s="6"/>
      <c r="C3" s="6"/>
      <c r="D3" s="6"/>
      <c r="E3" s="6"/>
      <c r="F3" s="6"/>
    </row>
    <row r="4" customFormat="false" ht="30" hidden="false" customHeight="true" outlineLevel="0" collapsed="false">
      <c r="A4" s="5" t="s">
        <v>489</v>
      </c>
      <c r="B4" s="6"/>
      <c r="C4" s="6"/>
      <c r="D4" s="6"/>
      <c r="E4" s="6"/>
      <c r="F4" s="6"/>
    </row>
    <row r="5" customFormat="false" ht="30" hidden="false" customHeight="true" outlineLevel="0" collapsed="false">
      <c r="A5" s="5" t="s">
        <v>8</v>
      </c>
      <c r="B5" s="6"/>
      <c r="C5" s="6"/>
      <c r="D5" s="6"/>
      <c r="E5" s="6"/>
      <c r="F5" s="6"/>
    </row>
    <row r="6" customFormat="false" ht="30" hidden="false" customHeight="true" outlineLevel="0" collapsed="false">
      <c r="A6" s="5" t="s">
        <v>490</v>
      </c>
      <c r="B6" s="6"/>
      <c r="C6" s="6"/>
      <c r="D6" s="6"/>
      <c r="E6" s="6"/>
      <c r="F6" s="6"/>
    </row>
  </sheetData>
  <dataValidations count="1">
    <dataValidation allowBlank="true" errorStyle="stop" operator="between" showDropDown="false" showErrorMessage="false" showInputMessage="false" sqref="C2:C6" type="list">
      <formula1>"Accept,Accept with conditions,Reject"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2026-10-11T16:31:05Z</dcterms:created>
  <dc:creator>openpyxl</dc:creator>
  <dc:description/>
  <dc:language>en-US</dc:language>
  <cp:lastModifiedBy/>
  <dcterms:modified xsi:type="dcterms:W3CDTF">2026-10-11T16:31:05Z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